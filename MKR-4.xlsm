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4D1C537B-E38A-612A-F078-A93A15B4B7F4}"/>
  <workbookPr codeName="ЭтаКнига"/>
  <bookViews>
    <workbookView xWindow="-105" yWindow="-105" windowWidth="20730" windowHeight="11760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M10" i="1"/>
  <c r="N10" i="1"/>
  <c r="O10" i="1"/>
  <c r="P10" i="1"/>
  <c r="Q10" i="1"/>
  <c r="R10" i="1"/>
  <c r="S10" i="1"/>
  <c r="T10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/>
  <c r="E51" i="1" s="1"/>
  <c r="E50" i="1" s="1"/>
  <c r="E49" i="1" s="1"/>
  <c r="E48" i="1" s="1"/>
  <c r="E47" i="1" s="1"/>
  <c r="E46" i="1" s="1"/>
  <c r="E45" i="1" s="1"/>
  <c r="E44" i="1" s="1"/>
  <c r="E40" i="1"/>
  <c r="E39" i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K50" i="1"/>
  <c r="AC8" i="1" s="1"/>
  <c r="M9" i="1"/>
  <c r="M11" i="1"/>
  <c r="L51" i="1" s="1"/>
  <c r="AD8" i="1" s="1"/>
  <c r="N9" i="1"/>
  <c r="N11" i="1"/>
  <c r="N12" i="1"/>
  <c r="M52" i="1" s="1"/>
  <c r="AE8" i="1" s="1"/>
  <c r="O9" i="1"/>
  <c r="O11" i="1"/>
  <c r="O12" i="1"/>
  <c r="O13" i="1"/>
  <c r="N53" i="1" s="1"/>
  <c r="AF8" i="1" s="1"/>
  <c r="P9" i="1"/>
  <c r="P11" i="1"/>
  <c r="P12" i="1"/>
  <c r="P13" i="1"/>
  <c r="Q9" i="1"/>
  <c r="Q11" i="1"/>
  <c r="Q12" i="1"/>
  <c r="Q13" i="1"/>
  <c r="R9" i="1"/>
  <c r="R11" i="1"/>
  <c r="R12" i="1"/>
  <c r="R13" i="1"/>
  <c r="S9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Q65" i="1" s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H61" i="1" l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M15" i="1"/>
  <c r="AD5" i="1"/>
  <c r="AD16" i="1"/>
  <c r="E9" i="1"/>
  <c r="AD76" i="1"/>
  <c r="AC6" i="1"/>
  <c r="AB10" i="1"/>
  <c r="AA11" i="1"/>
  <c r="F58" i="1" l="1"/>
  <c r="T62" i="1"/>
  <c r="E8" i="1"/>
  <c r="AC76" i="1"/>
  <c r="Y6" i="1"/>
  <c r="AA6" i="1"/>
  <c r="X6" i="1"/>
  <c r="Z6" i="1"/>
  <c r="AB6" i="1"/>
  <c r="T7" i="1"/>
  <c r="T35" i="1"/>
  <c r="S48" i="1"/>
  <c r="S61" i="1" s="1"/>
  <c r="T48" i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T61" i="1" l="1"/>
  <c r="AK15" i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AD10" i="1"/>
  <c r="AC11" i="1"/>
  <c r="T60" i="1" l="1"/>
  <c r="Z75" i="1"/>
  <c r="AD75" i="1"/>
  <c r="AH75" i="1"/>
  <c r="AL75" i="1"/>
  <c r="AE75" i="1"/>
  <c r="AI75" i="1"/>
  <c r="X75" i="1"/>
  <c r="AA75" i="1"/>
  <c r="Y75" i="1"/>
  <c r="AC75" i="1"/>
  <c r="AG75" i="1"/>
  <c r="AK75" i="1"/>
  <c r="AB75" i="1"/>
  <c r="AF75" i="1"/>
  <c r="AJ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A74" i="1" l="1"/>
  <c r="AE74" i="1"/>
  <c r="AI74" i="1"/>
  <c r="X74" i="1"/>
  <c r="AB74" i="1"/>
  <c r="AF74" i="1"/>
  <c r="AJ74" i="1"/>
  <c r="Z74" i="1"/>
  <c r="AD74" i="1"/>
  <c r="AH74" i="1"/>
  <c r="AL74" i="1"/>
  <c r="Y74" i="1"/>
  <c r="AC74" i="1"/>
  <c r="AG74" i="1"/>
  <c r="AK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T58" i="1" l="1"/>
  <c r="AB73" i="1"/>
  <c r="AF73" i="1"/>
  <c r="AJ73" i="1"/>
  <c r="E4" i="1"/>
  <c r="AC73" i="1"/>
  <c r="AG73" i="1"/>
  <c r="AK73" i="1"/>
  <c r="Y73" i="1"/>
  <c r="AA73" i="1"/>
  <c r="AE73" i="1"/>
  <c r="AI73" i="1"/>
  <c r="X73" i="1"/>
  <c r="Z73" i="1"/>
  <c r="AD73" i="1"/>
  <c r="AH73" i="1"/>
  <c r="AL73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Y72" i="1" l="1"/>
  <c r="AC72" i="1"/>
  <c r="AG72" i="1"/>
  <c r="AK72" i="1"/>
  <c r="Z72" i="1"/>
  <c r="AH72" i="1"/>
  <c r="AL72" i="1"/>
  <c r="AI72" i="1"/>
  <c r="AD72" i="1"/>
  <c r="AB72" i="1"/>
  <c r="AF72" i="1"/>
  <c r="AJ72" i="1"/>
  <c r="AA72" i="1"/>
  <c r="AE72" i="1"/>
  <c r="X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<sst xmlns="http://schemas.openxmlformats.org/spreadsheetml/2006/main" count="34" uniqueCount="22">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</sst>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</cellStyleXfs>
  <cellXfs count="33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1" fillId="9" borderId="1" xfId="3" applyFill="1">
      <alignment horizontal="center" vertical="center"/>
    </xf>
    <xf numFmtId="2" fontId="1" fillId="8" borderId="1" xfId="4" applyFill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9" borderId="1" xfId="3" applyFill="1" applyBorder="1">
      <alignment horizontal="center" vertical="center"/>
    </xf>
    <xf numFmtId="2" fontId="1" fillId="8" borderId="1" xfId="4" applyFill="1" applyBorder="1">
      <alignment horizontal="center" vertical="center"/>
    </xf>
    <xf numFmtId="0" fontId="1" fillId="10" borderId="1" xfId="2" applyFill="1">
      <alignment horizontal="center" vertical="center"/>
    </xf>
    <xf numFmtId="0" fontId="5" fillId="2" borderId="0" xfId="0" applyFont="1" applyFill="1"/>
    <xf numFmtId="0" fontId="4" fillId="10" borderId="1" xfId="5" applyFill="1">
      <alignment horizontal="center" vertical="center"/>
    </xf>
    <xf numFmtId="0" fontId="1" fillId="11" borderId="1" xfId="1" applyFill="1"/>
    <xf numFmtId="0" fontId="0" fillId="2" borderId="0" xfId="0" applyFill="1"/>
    <xf numFmtId="0" fontId="1" fillId="2" borderId="1" xfId="2" applyFill="1">
      <alignment horizontal="center" vertical="center"/>
    </xf>
    <xf numFmtId="0" fontId="1" fillId="2" borderId="1" xfId="1" applyFill="1"/>
    <xf numFmtId="0" fontId="0" fillId="2" borderId="1" xfId="0" applyFill="1" applyBorder="1"/>
    <xf numFmtId="0" fontId="1" fillId="8" borderId="1" xfId="1" applyFill="1"/>
  </cellXfs>
  <cellStyles count="6">
    <cellStyle name="Normal" xfId="0" builtinId="0"/>
    <cellStyle name="Стиль 1" xfId="1"/>
    <cellStyle name="Стиль 2" xfId="2"/>
    <cellStyle name="Стиль 3" xfId="3"/>
    <cellStyle name="Стиль 4" xfId="4"/>
    <cellStyle name="Стиль 5" xfId="5"/>
  </cellStyles>
  <dxfs count="0"/>
  <tableStyles count="0" defaultTableStyle="TableStyleMedium2" defaultPivotStyle="PivotStyleLight16"/>
  <colors>
    <mruColors>
      <color rgb="FFF3C247"/>
      <color rgb="FFFA0E79"/>
      <color rgb="FFF5C1EB"/>
      <color rgb="FFD67CCB"/>
      <color rgb="FFFF66CC"/>
      <color rgb="FFF7AFE2"/>
      <color rgb="FF4EF862"/>
      <color rgb="FFF9F905"/>
      <color rgb="FF03EBCF"/>
      <color rgb="FFCD03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444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90048"/>
        <c:axId val="139895936"/>
      </c:scatterChart>
      <c:valAx>
        <c:axId val="139890048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895936"/>
        <c:crosses val="autoZero"/>
        <c:crossBetween val="midCat"/>
        <c:majorUnit val="0.2"/>
      </c:valAx>
      <c:valAx>
        <c:axId val="1398959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89004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9E-2"/>
          <c:w val="0.92176683192132958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86208"/>
        <c:axId val="140308480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1.9492811965421892</c:v>
                </c:pt>
                <c:pt idx="2">
                  <c:v>1.9483239340676377</c:v>
                </c:pt>
                <c:pt idx="3">
                  <c:v>1.9468629752842386</c:v>
                </c:pt>
                <c:pt idx="4">
                  <c:v>1.9445916702133432</c:v>
                </c:pt>
                <c:pt idx="5">
                  <c:v>1.9412839901587029</c:v>
                </c:pt>
                <c:pt idx="6">
                  <c:v>1.9370954152423128</c:v>
                </c:pt>
                <c:pt idx="7">
                  <c:v>1.9323341728933043</c:v>
                </c:pt>
                <c:pt idx="8">
                  <c:v>1.9273155342172987</c:v>
                </c:pt>
                <c:pt idx="9">
                  <c:v>1.9222995320911176</c:v>
                </c:pt>
                <c:pt idx="10">
                  <c:v>1.9174625417172841</c:v>
                </c:pt>
                <c:pt idx="11">
                  <c:v>1.9128837481427268</c:v>
                </c:pt>
                <c:pt idx="12">
                  <c:v>1.9085418421837039</c:v>
                </c:pt>
                <c:pt idx="13">
                  <c:v>1.9043182309340061</c:v>
                </c:pt>
                <c:pt idx="14">
                  <c:v>1.9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1.7466273841530693</c:v>
                </c:pt>
                <c:pt idx="2">
                  <c:v>1.7421186228944288</c:v>
                </c:pt>
                <c:pt idx="3">
                  <c:v>1.7351399382151278</c:v>
                </c:pt>
                <c:pt idx="4">
                  <c:v>1.7239912511675726</c:v>
                </c:pt>
                <c:pt idx="5">
                  <c:v>1.7070602796625387</c:v>
                </c:pt>
                <c:pt idx="6">
                  <c:v>1.6853656397256891</c:v>
                </c:pt>
                <c:pt idx="7">
                  <c:v>1.6607458005826536</c:v>
                </c:pt>
                <c:pt idx="8">
                  <c:v>1.6349915486193265</c:v>
                </c:pt>
                <c:pt idx="9">
                  <c:v>1.6095152724480895</c:v>
                </c:pt>
                <c:pt idx="10">
                  <c:v>1.5852311313683405</c:v>
                </c:pt>
                <c:pt idx="11">
                  <c:v>1.5625186269674396</c:v>
                </c:pt>
                <c:pt idx="12">
                  <c:v>1.5412347434723372</c:v>
                </c:pt>
                <c:pt idx="13">
                  <c:v>1.520753836572603</c:v>
                </c:pt>
                <c:pt idx="14">
                  <c:v>1.5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1.4949319018966039</c:v>
                </c:pt>
                <c:pt idx="2">
                  <c:v>1.4879335883520706</c:v>
                </c:pt>
                <c:pt idx="3">
                  <c:v>1.4763317243732956</c:v>
                </c:pt>
                <c:pt idx="4">
                  <c:v>1.4555921401565548</c:v>
                </c:pt>
                <c:pt idx="5">
                  <c:v>1.4180311011273543</c:v>
                </c:pt>
                <c:pt idx="6">
                  <c:v>1.3693606346726961</c:v>
                </c:pt>
                <c:pt idx="7">
                  <c:v>1.3154046603021752</c:v>
                </c:pt>
                <c:pt idx="8">
                  <c:v>1.2606481668578995</c:v>
                </c:pt>
                <c:pt idx="9">
                  <c:v>1.2081248868627559</c:v>
                </c:pt>
                <c:pt idx="10">
                  <c:v>1.1595504109982147</c:v>
                </c:pt>
                <c:pt idx="11">
                  <c:v>1.1154391208705172</c:v>
                </c:pt>
                <c:pt idx="12">
                  <c:v>1.0752401162640728</c:v>
                </c:pt>
                <c:pt idx="13">
                  <c:v>1.03750256023679</c:v>
                </c:pt>
                <c:pt idx="14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1.246061104555978</c:v>
                </c:pt>
                <c:pt idx="2">
                  <c:v>1.2403368633702156</c:v>
                </c:pt>
                <c:pt idx="3">
                  <c:v>1.2297284275782707</c:v>
                </c:pt>
                <c:pt idx="4">
                  <c:v>1.2063039925172792</c:v>
                </c:pt>
                <c:pt idx="5">
                  <c:v>1.1350118764055963</c:v>
                </c:pt>
                <c:pt idx="6">
                  <c:v>1.0461314248111251</c:v>
                </c:pt>
                <c:pt idx="7">
                  <c:v>0.95344336825120468</c:v>
                </c:pt>
                <c:pt idx="8">
                  <c:v>0.86446382826155621</c:v>
                </c:pt>
                <c:pt idx="9">
                  <c:v>0.7832545014035599</c:v>
                </c:pt>
                <c:pt idx="10">
                  <c:v>0.71165600768384252</c:v>
                </c:pt>
                <c:pt idx="11">
                  <c:v>0.64963919008822413</c:v>
                </c:pt>
                <c:pt idx="12">
                  <c:v>0.59562862918019466</c:v>
                </c:pt>
                <c:pt idx="13">
                  <c:v>0.54692246098021535</c:v>
                </c:pt>
                <c:pt idx="14">
                  <c:v>0.50000000000000011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444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1.0491298276172885</c:v>
                </c:pt>
                <c:pt idx="2">
                  <c:v>1.0478686159722068</c:v>
                </c:pt>
                <c:pt idx="3">
                  <c:v>1.0455757847866467</c:v>
                </c:pt>
                <c:pt idx="4">
                  <c:v>1.0410551332660176</c:v>
                </c:pt>
                <c:pt idx="5">
                  <c:v>0.87533392166264212</c:v>
                </c:pt>
                <c:pt idx="6">
                  <c:v>0.69983116300954595</c:v>
                </c:pt>
                <c:pt idx="7">
                  <c:v>0.52521415730673682</c:v>
                </c:pt>
                <c:pt idx="8">
                  <c:v>0.35914955870243448</c:v>
                </c:pt>
                <c:pt idx="9">
                  <c:v>0.21937610167401403</c:v>
                </c:pt>
                <c:pt idx="10">
                  <c:v>0.15243791357171754</c:v>
                </c:pt>
                <c:pt idx="11">
                  <c:v>0.12720171673933123</c:v>
                </c:pt>
                <c:pt idx="12">
                  <c:v>0.11438176920426447</c:v>
                </c:pt>
                <c:pt idx="13">
                  <c:v>0.10620753684207536</c:v>
                </c:pt>
                <c:pt idx="14">
                  <c:v>0.1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86208"/>
        <c:axId val="140308480"/>
      </c:scatterChart>
      <c:valAx>
        <c:axId val="14028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308480"/>
        <c:crosses val="autoZero"/>
        <c:crossBetween val="midCat"/>
        <c:majorUnit val="0.2"/>
      </c:valAx>
      <c:valAx>
        <c:axId val="140308480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28620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23</xdr:row>
      <xdr:rowOff>77528</xdr:rowOff>
    </xdr:from>
    <xdr:to>
      <xdr:col>33</xdr:col>
      <xdr:colOff>121831</xdr:colOff>
      <xdr:row>48</xdr:row>
      <xdr:rowOff>166134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114446</xdr:colOff>
      <xdr:row>49</xdr:row>
      <xdr:rowOff>121831</xdr:rowOff>
    </xdr:from>
    <xdr:to>
      <xdr:col>35</xdr:col>
      <xdr:colOff>55376</xdr:colOff>
      <xdr:row>66</xdr:row>
      <xdr:rowOff>133282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24</xdr:row>
          <xdr:rowOff>133350</xdr:rowOff>
        </xdr:from>
        <xdr:to>
          <xdr:col>2</xdr:col>
          <xdr:colOff>19050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18</xdr:row>
          <xdr:rowOff>123825</xdr:rowOff>
        </xdr:from>
        <xdr:to>
          <xdr:col>2</xdr:col>
          <xdr:colOff>285750</xdr:colOff>
          <xdr:row>23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O78"/>
  <sheetViews>
    <sheetView tabSelected="1" zoomScale="80" zoomScaleNormal="80" workbookViewId="0">
      <selection activeCell="D24" sqref="D24"/>
    </sheetView>
  </sheetViews>
  <sheetFormatPr defaultRowHeight="15" x14ac:dyDescent="0.25"/>
  <cols>
    <col min="1" max="1" width="13.28515625" customWidth="1"/>
  </cols>
  <sheetData>
    <row r="1" spans="1:38" ht="14.45" x14ac:dyDescent="0.3">
      <c r="A1" s="29" t="s">
        <v>0</v>
      </c>
      <c r="B1" s="30">
        <v>0.2</v>
      </c>
    </row>
    <row r="2" spans="1:38" ht="14.45" x14ac:dyDescent="0.3">
      <c r="A2" s="31"/>
      <c r="B2" s="31"/>
    </row>
    <row r="3" spans="1:38" ht="14.45" x14ac:dyDescent="0.3">
      <c r="A3" s="29" t="s">
        <v>1</v>
      </c>
      <c r="B3" s="30">
        <v>10</v>
      </c>
      <c r="D3" s="25"/>
      <c r="E3" s="2"/>
      <c r="F3" s="24">
        <v>1</v>
      </c>
      <c r="G3" s="24">
        <v>2</v>
      </c>
      <c r="H3" s="24">
        <v>3</v>
      </c>
      <c r="I3" s="24">
        <v>4</v>
      </c>
      <c r="J3" s="24">
        <v>5</v>
      </c>
      <c r="K3" s="24">
        <v>6</v>
      </c>
      <c r="L3" s="24">
        <v>7</v>
      </c>
      <c r="M3" s="24">
        <v>8</v>
      </c>
      <c r="N3" s="24">
        <v>9</v>
      </c>
      <c r="O3" s="24">
        <v>10</v>
      </c>
      <c r="P3" s="24">
        <v>11</v>
      </c>
      <c r="Q3" s="24">
        <v>12</v>
      </c>
      <c r="R3" s="24">
        <v>13</v>
      </c>
      <c r="S3" s="24">
        <v>14</v>
      </c>
      <c r="T3" s="24">
        <v>15</v>
      </c>
      <c r="W3" s="24">
        <v>0</v>
      </c>
      <c r="X3" s="24">
        <v>1</v>
      </c>
      <c r="Y3" s="24">
        <v>2</v>
      </c>
      <c r="Z3" s="24">
        <v>3</v>
      </c>
      <c r="AA3" s="24">
        <v>4</v>
      </c>
      <c r="AB3" s="24">
        <v>5</v>
      </c>
      <c r="AC3" s="24">
        <v>6</v>
      </c>
      <c r="AD3" s="24">
        <v>7</v>
      </c>
      <c r="AE3" s="24">
        <v>8</v>
      </c>
      <c r="AF3" s="24">
        <v>9</v>
      </c>
      <c r="AG3" s="24">
        <v>10</v>
      </c>
      <c r="AH3" s="24">
        <v>11</v>
      </c>
      <c r="AI3" s="24">
        <v>12</v>
      </c>
      <c r="AJ3" s="24">
        <v>13</v>
      </c>
      <c r="AK3" s="24">
        <v>14</v>
      </c>
      <c r="AL3" s="24">
        <v>15</v>
      </c>
    </row>
    <row r="4" spans="1:38" ht="14.45" x14ac:dyDescent="0.3">
      <c r="A4" s="29" t="s">
        <v>2</v>
      </c>
      <c r="B4" s="30">
        <v>101325</v>
      </c>
      <c r="E4" s="24">
        <f>E5+$B$1</f>
        <v>1.9999999999999998</v>
      </c>
      <c r="F4" s="19">
        <f t="shared" ref="F4:F7" si="0">F5+$B$3*$B$1</f>
        <v>10</v>
      </c>
      <c r="G4" s="19">
        <f>$F$4</f>
        <v>10</v>
      </c>
      <c r="H4" s="19">
        <f t="shared" ref="H4:S4" si="1">$F$4</f>
        <v>10</v>
      </c>
      <c r="I4" s="19">
        <f t="shared" si="1"/>
        <v>10</v>
      </c>
      <c r="J4" s="19">
        <f t="shared" si="1"/>
        <v>10</v>
      </c>
      <c r="K4" s="19">
        <f t="shared" si="1"/>
        <v>10</v>
      </c>
      <c r="L4" s="19">
        <f t="shared" si="1"/>
        <v>10</v>
      </c>
      <c r="M4" s="19">
        <f t="shared" si="1"/>
        <v>10</v>
      </c>
      <c r="N4" s="19">
        <f t="shared" si="1"/>
        <v>10</v>
      </c>
      <c r="O4" s="19">
        <f t="shared" si="1"/>
        <v>10</v>
      </c>
      <c r="P4" s="19">
        <f t="shared" si="1"/>
        <v>10</v>
      </c>
      <c r="Q4" s="19">
        <f t="shared" si="1"/>
        <v>10</v>
      </c>
      <c r="R4" s="19">
        <f t="shared" si="1"/>
        <v>10</v>
      </c>
      <c r="S4" s="19">
        <f t="shared" si="1"/>
        <v>10</v>
      </c>
      <c r="T4" s="19">
        <f t="shared" ref="T4:T11" si="2">T5+(($B$3*$B$6)/$B$7)*$B$1</f>
        <v>10</v>
      </c>
      <c r="W4" s="10" t="s">
        <v>13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</row>
    <row r="5" spans="1:38" ht="14.45" x14ac:dyDescent="0.3">
      <c r="A5" s="29" t="s">
        <v>3</v>
      </c>
      <c r="B5" s="30">
        <f>B3*B6/B7</f>
        <v>5</v>
      </c>
      <c r="E5" s="24">
        <f t="shared" ref="E5:E13" si="3">E6+$B$1</f>
        <v>1.7999999999999998</v>
      </c>
      <c r="F5" s="19">
        <f t="shared" si="0"/>
        <v>8</v>
      </c>
      <c r="G5" s="20">
        <f>0.25*(G18+F19+G20+H19)</f>
        <v>8.0283446536118888</v>
      </c>
      <c r="H5" s="20">
        <f t="shared" ref="H5:K5" si="4">0.25*(H18+G19+H20+I19)</f>
        <v>8.064868170675215</v>
      </c>
      <c r="I5" s="20">
        <f t="shared" si="4"/>
        <v>8.1180730284595946</v>
      </c>
      <c r="J5" s="20">
        <f t="shared" si="4"/>
        <v>8.1952172103898704</v>
      </c>
      <c r="K5" s="20">
        <f t="shared" si="4"/>
        <v>8.2968869943599852</v>
      </c>
      <c r="L5" s="20">
        <f t="shared" ref="L5:S5" si="5">0.25*(L18+K19+L20+M19)</f>
        <v>8.4102907540808474</v>
      </c>
      <c r="M5" s="20">
        <f t="shared" si="5"/>
        <v>8.5221491515603596</v>
      </c>
      <c r="N5" s="20">
        <f t="shared" si="5"/>
        <v>8.6241902045622503</v>
      </c>
      <c r="O5" s="20">
        <f t="shared" si="5"/>
        <v>8.7130064632652129</v>
      </c>
      <c r="P5" s="20">
        <f t="shared" si="5"/>
        <v>8.7884288893720246</v>
      </c>
      <c r="Q5" s="20">
        <f t="shared" si="5"/>
        <v>8.8521085576106415</v>
      </c>
      <c r="R5" s="20">
        <f t="shared" si="5"/>
        <v>8.9066038242224224</v>
      </c>
      <c r="S5" s="20">
        <f t="shared" si="5"/>
        <v>8.9548688221783621</v>
      </c>
      <c r="T5" s="19">
        <f t="shared" si="2"/>
        <v>9</v>
      </c>
      <c r="W5" s="10" t="s">
        <v>14</v>
      </c>
      <c r="X5" s="14">
        <f>F15</f>
        <v>0</v>
      </c>
      <c r="Y5" s="14">
        <f t="shared" ref="Y5:AL5" si="6">G15</f>
        <v>0.2</v>
      </c>
      <c r="Z5" s="14">
        <f t="shared" si="6"/>
        <v>0.4</v>
      </c>
      <c r="AA5" s="14">
        <f t="shared" si="6"/>
        <v>0.60000000000000009</v>
      </c>
      <c r="AB5" s="14">
        <f t="shared" si="6"/>
        <v>0.8</v>
      </c>
      <c r="AC5" s="14">
        <f t="shared" si="6"/>
        <v>1</v>
      </c>
      <c r="AD5" s="14">
        <f t="shared" si="6"/>
        <v>1.2</v>
      </c>
      <c r="AE5" s="14">
        <f t="shared" si="6"/>
        <v>1.4</v>
      </c>
      <c r="AF5" s="14">
        <f t="shared" si="6"/>
        <v>1.5999999999999999</v>
      </c>
      <c r="AG5" s="14">
        <f t="shared" si="6"/>
        <v>1.7999999999999998</v>
      </c>
      <c r="AH5" s="14">
        <f t="shared" si="6"/>
        <v>1.9999999999999998</v>
      </c>
      <c r="AI5" s="14">
        <f t="shared" si="6"/>
        <v>2.1999999999999997</v>
      </c>
      <c r="AJ5" s="14">
        <f t="shared" si="6"/>
        <v>2.4</v>
      </c>
      <c r="AK5" s="14">
        <f t="shared" si="6"/>
        <v>2.6</v>
      </c>
      <c r="AL5" s="14">
        <f t="shared" si="6"/>
        <v>2.8000000000000003</v>
      </c>
    </row>
    <row r="6" spans="1:38" x14ac:dyDescent="0.25">
      <c r="A6" s="29" t="s">
        <v>9</v>
      </c>
      <c r="B6" s="30">
        <v>1</v>
      </c>
      <c r="E6" s="24">
        <f t="shared" si="3"/>
        <v>1.5999999999999999</v>
      </c>
      <c r="F6" s="19">
        <f t="shared" si="0"/>
        <v>6</v>
      </c>
      <c r="G6" s="20">
        <f t="shared" ref="G6:J6" si="7">0.25*(G19+F20+G21+H20)</f>
        <v>6.0485104437723347</v>
      </c>
      <c r="H6" s="20">
        <f t="shared" si="7"/>
        <v>6.1130550006293811</v>
      </c>
      <c r="I6" s="20">
        <f t="shared" si="7"/>
        <v>6.2122067327732928</v>
      </c>
      <c r="J6" s="20">
        <f t="shared" si="7"/>
        <v>6.3659088187399</v>
      </c>
      <c r="K6" s="20">
        <f t="shared" ref="K6:S6" si="8">0.25*(K19+J20+K21+L20)</f>
        <v>6.5820400129692231</v>
      </c>
      <c r="L6" s="20">
        <f t="shared" si="8"/>
        <v>6.8221268704030482</v>
      </c>
      <c r="M6" s="20">
        <f t="shared" si="8"/>
        <v>7.054115647598346</v>
      </c>
      <c r="N6" s="20">
        <f t="shared" si="8"/>
        <v>7.2616052034234295</v>
      </c>
      <c r="O6" s="20">
        <f t="shared" si="8"/>
        <v>7.4394067591265731</v>
      </c>
      <c r="P6" s="20">
        <f t="shared" si="8"/>
        <v>7.5886005366122493</v>
      </c>
      <c r="Q6" s="20">
        <f t="shared" si="8"/>
        <v>7.7134015168481147</v>
      </c>
      <c r="R6" s="20">
        <f t="shared" si="8"/>
        <v>7.8194379171006894</v>
      </c>
      <c r="S6" s="20">
        <f t="shared" si="8"/>
        <v>7.9128714644910305</v>
      </c>
      <c r="T6" s="19">
        <f t="shared" si="2"/>
        <v>8</v>
      </c>
      <c r="W6" s="10" t="s">
        <v>15</v>
      </c>
      <c r="X6" s="15">
        <f>$E$9</f>
        <v>1</v>
      </c>
      <c r="Y6" s="15">
        <f t="shared" ref="Y6:AB6" si="9">$E$9</f>
        <v>1</v>
      </c>
      <c r="Z6" s="15">
        <f t="shared" si="9"/>
        <v>1</v>
      </c>
      <c r="AA6" s="15">
        <f t="shared" si="9"/>
        <v>1</v>
      </c>
      <c r="AB6" s="15">
        <f t="shared" si="9"/>
        <v>1</v>
      </c>
      <c r="AC6" s="15">
        <f>E10</f>
        <v>0.8</v>
      </c>
      <c r="AD6" s="15">
        <f>E11</f>
        <v>0.60000000000000009</v>
      </c>
      <c r="AE6" s="15">
        <f>E12</f>
        <v>0.4</v>
      </c>
      <c r="AF6" s="15">
        <f>E13</f>
        <v>0.2</v>
      </c>
      <c r="AG6" s="15">
        <f>$E$14</f>
        <v>0</v>
      </c>
      <c r="AH6" s="15">
        <f t="shared" ref="AH6:AL6" si="10">$E$14</f>
        <v>0</v>
      </c>
      <c r="AI6" s="15">
        <f t="shared" si="10"/>
        <v>0</v>
      </c>
      <c r="AJ6" s="15">
        <f t="shared" si="10"/>
        <v>0</v>
      </c>
      <c r="AK6" s="15">
        <f t="shared" si="10"/>
        <v>0</v>
      </c>
      <c r="AL6" s="15">
        <f t="shared" si="10"/>
        <v>0</v>
      </c>
    </row>
    <row r="7" spans="1:38" x14ac:dyDescent="0.25">
      <c r="A7" s="29" t="s">
        <v>10</v>
      </c>
      <c r="B7" s="30">
        <v>2</v>
      </c>
      <c r="E7" s="24">
        <f t="shared" si="3"/>
        <v>1.4</v>
      </c>
      <c r="F7" s="19">
        <f t="shared" si="0"/>
        <v>4</v>
      </c>
      <c r="G7" s="20">
        <f t="shared" ref="G7:J7" si="11">0.25*(G20+F21+G22+H21)</f>
        <v>4.0526421208480707</v>
      </c>
      <c r="H7" s="20">
        <f t="shared" si="11"/>
        <v>4.1266346552966837</v>
      </c>
      <c r="I7" s="20">
        <f t="shared" si="11"/>
        <v>4.2517900832642974</v>
      </c>
      <c r="J7" s="20">
        <f t="shared" si="11"/>
        <v>4.4741713188272154</v>
      </c>
      <c r="K7" s="20">
        <f t="shared" ref="K7:S7" si="12">0.25*(K20+J21+K22+L21)</f>
        <v>4.8432373683739582</v>
      </c>
      <c r="L7" s="20">
        <f>0.25*(L20+K21+L22+M21)</f>
        <v>5.2420610669637782</v>
      </c>
      <c r="M7" s="20">
        <f t="shared" si="12"/>
        <v>5.6105813650065457</v>
      </c>
      <c r="N7" s="20">
        <f t="shared" si="12"/>
        <v>5.9287082024065505</v>
      </c>
      <c r="O7" s="20">
        <f t="shared" si="12"/>
        <v>6.1944148332054034</v>
      </c>
      <c r="P7" s="20">
        <f t="shared" si="12"/>
        <v>6.4131649811022822</v>
      </c>
      <c r="Q7" s="20">
        <f t="shared" si="12"/>
        <v>6.5934590560688804</v>
      </c>
      <c r="R7" s="20">
        <f t="shared" si="12"/>
        <v>6.744874862841189</v>
      </c>
      <c r="S7" s="20">
        <f t="shared" si="12"/>
        <v>6.8771791186850706</v>
      </c>
      <c r="T7" s="19">
        <f t="shared" si="2"/>
        <v>7</v>
      </c>
      <c r="W7" s="10" t="s">
        <v>11</v>
      </c>
      <c r="X7" s="14">
        <f>F36</f>
        <v>10</v>
      </c>
      <c r="Y7" s="15">
        <f t="shared" ref="Y7:AB7" si="13">G36</f>
        <v>10.177116921616323</v>
      </c>
      <c r="Z7" s="15">
        <f t="shared" si="13"/>
        <v>10.445257082224932</v>
      </c>
      <c r="AA7" s="15">
        <f t="shared" si="13"/>
        <v>10.970738130799988</v>
      </c>
      <c r="AB7" s="15">
        <f t="shared" si="13"/>
        <v>12.178745024653535</v>
      </c>
      <c r="AC7" s="15">
        <f>K37</f>
        <v>6.6371163078312012</v>
      </c>
      <c r="AD7" s="15">
        <f>L38</f>
        <v>5.0084561265923533</v>
      </c>
      <c r="AE7" s="15">
        <f>M39</f>
        <v>3.9931586871215496</v>
      </c>
      <c r="AF7" s="15">
        <f>N40</f>
        <v>3.1416989407734484</v>
      </c>
      <c r="AG7" s="15">
        <f>O41</f>
        <v>2.1832323911911291</v>
      </c>
      <c r="AH7" s="15">
        <f t="shared" ref="AH7:AL7" si="14">P41</f>
        <v>3.2800239014342378</v>
      </c>
      <c r="AI7" s="15">
        <f t="shared" si="14"/>
        <v>3.9307645589770432</v>
      </c>
      <c r="AJ7" s="15">
        <f t="shared" si="14"/>
        <v>4.3713259855868589</v>
      </c>
      <c r="AK7" s="15">
        <f t="shared" si="14"/>
        <v>4.7077638260594625</v>
      </c>
      <c r="AL7" s="15">
        <f t="shared" si="14"/>
        <v>5</v>
      </c>
    </row>
    <row r="8" spans="1:38" ht="14.45" x14ac:dyDescent="0.3">
      <c r="A8" s="29" t="s">
        <v>4</v>
      </c>
      <c r="B8" s="30">
        <v>300</v>
      </c>
      <c r="C8">
        <v>300</v>
      </c>
      <c r="E8" s="24">
        <f t="shared" si="3"/>
        <v>1.2</v>
      </c>
      <c r="F8" s="19">
        <f>F9+$B$3*$B$1</f>
        <v>2</v>
      </c>
      <c r="G8" s="20">
        <f t="shared" ref="G8:J8" si="15">0.25*(G21+F22+G23+H22)</f>
        <v>2.0354233843232645</v>
      </c>
      <c r="H8" s="20">
        <f t="shared" si="15"/>
        <v>2.0890514164449865</v>
      </c>
      <c r="I8" s="20">
        <f t="shared" si="15"/>
        <v>2.1941476261599977</v>
      </c>
      <c r="J8" s="20">
        <f t="shared" si="15"/>
        <v>2.4357490049307073</v>
      </c>
      <c r="K8" s="20">
        <f t="shared" ref="K8:S9" si="16">0.25*(K21+J22+K23+L22)</f>
        <v>3.0746770747356171</v>
      </c>
      <c r="L8" s="20">
        <f t="shared" si="16"/>
        <v>3.6922986640715623</v>
      </c>
      <c r="M8" s="20">
        <f t="shared" si="16"/>
        <v>4.2174405430575108</v>
      </c>
      <c r="N8" s="20">
        <f t="shared" si="16"/>
        <v>4.6482314079908287</v>
      </c>
      <c r="O8" s="20">
        <f t="shared" si="16"/>
        <v>4.9963793901862079</v>
      </c>
      <c r="P8" s="20">
        <f t="shared" si="16"/>
        <v>5.2761854985226027</v>
      </c>
      <c r="Q8" s="20">
        <f t="shared" si="16"/>
        <v>5.5023948634839366</v>
      </c>
      <c r="R8" s="20">
        <f t="shared" si="16"/>
        <v>5.6894233595101191</v>
      </c>
      <c r="S8" s="20">
        <f t="shared" si="16"/>
        <v>5.8509701474080629</v>
      </c>
      <c r="T8" s="19">
        <f t="shared" si="2"/>
        <v>6</v>
      </c>
      <c r="W8" s="10" t="s">
        <v>12</v>
      </c>
      <c r="X8" s="15">
        <f>F49</f>
        <v>0</v>
      </c>
      <c r="Y8" s="15">
        <f t="shared" ref="Y8:AB8" si="17">G49</f>
        <v>0</v>
      </c>
      <c r="Z8" s="15">
        <f t="shared" si="17"/>
        <v>0</v>
      </c>
      <c r="AA8" s="15">
        <f t="shared" si="17"/>
        <v>0</v>
      </c>
      <c r="AB8" s="15">
        <f t="shared" si="17"/>
        <v>-6.6371163078312012</v>
      </c>
      <c r="AC8" s="15">
        <f>K50</f>
        <v>-5.0084561265923533</v>
      </c>
      <c r="AD8" s="15">
        <f>L51</f>
        <v>-3.9931586871215496</v>
      </c>
      <c r="AE8" s="15">
        <f>M52</f>
        <v>-3.1416989407734484</v>
      </c>
      <c r="AF8" s="15">
        <f>N53</f>
        <v>-2.1832323911911291</v>
      </c>
      <c r="AG8" s="15">
        <f>O54</f>
        <v>0</v>
      </c>
      <c r="AH8" s="15">
        <f t="shared" ref="AH8:AL8" si="18">P54</f>
        <v>0</v>
      </c>
      <c r="AI8" s="15">
        <f t="shared" si="18"/>
        <v>0</v>
      </c>
      <c r="AJ8" s="15">
        <f t="shared" si="18"/>
        <v>0</v>
      </c>
      <c r="AK8" s="15">
        <f t="shared" si="18"/>
        <v>0</v>
      </c>
      <c r="AL8" s="15">
        <f t="shared" si="18"/>
        <v>0</v>
      </c>
    </row>
    <row r="9" spans="1:38" ht="14.45" x14ac:dyDescent="0.3">
      <c r="A9" s="31"/>
      <c r="B9" s="31"/>
      <c r="E9" s="24">
        <f t="shared" si="3"/>
        <v>1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20">
        <f t="shared" si="16"/>
        <v>1.3274232615662402</v>
      </c>
      <c r="L9" s="20">
        <f t="shared" ref="L9" si="19">0.25*(L22+K23+L24+M23)</f>
        <v>2.2350159715293456</v>
      </c>
      <c r="M9" s="20">
        <f t="shared" ref="M9" si="20">0.25*(M22+L23+M24+N23)</f>
        <v>2.9186507351611102</v>
      </c>
      <c r="N9" s="20">
        <f t="shared" ref="N9" si="21">0.25*(N22+M23+N24+O23)</f>
        <v>3.450397496313049</v>
      </c>
      <c r="O9" s="20">
        <f t="shared" ref="O9" si="22">0.25*(O22+N23+O24+P23)</f>
        <v>3.8666858210259991</v>
      </c>
      <c r="P9" s="20">
        <f t="shared" ref="P9" si="23">0.25*(P22+O23+P24+Q23)</f>
        <v>4.1928027593179875</v>
      </c>
      <c r="Q9" s="20">
        <f t="shared" ref="Q9" si="24">0.25*(Q22+P23+Q24+R23)</f>
        <v>4.4505115398341459</v>
      </c>
      <c r="R9" s="20">
        <f t="shared" ref="R9" si="25">0.25*(R22+Q23+R24+S23)</f>
        <v>4.6594535643072899</v>
      </c>
      <c r="S9" s="20">
        <f t="shared" ref="S9" si="26">0.25*(S22+R23+S24+T23)</f>
        <v>4.8372781114370635</v>
      </c>
      <c r="T9" s="19">
        <f t="shared" si="2"/>
        <v>5</v>
      </c>
      <c r="W9" s="10" t="s">
        <v>18</v>
      </c>
      <c r="X9" s="15">
        <f>F62</f>
        <v>10</v>
      </c>
      <c r="Y9" s="15">
        <f t="shared" ref="Y9:AB9" si="27">G62</f>
        <v>10.177116921616323</v>
      </c>
      <c r="Z9" s="15">
        <f t="shared" si="27"/>
        <v>10.445257082224932</v>
      </c>
      <c r="AA9" s="15">
        <f t="shared" si="27"/>
        <v>10.970738130799988</v>
      </c>
      <c r="AB9" s="15">
        <f t="shared" si="27"/>
        <v>13.869864572489599</v>
      </c>
      <c r="AC9" s="15">
        <f>K63</f>
        <v>8.3148028031745493</v>
      </c>
      <c r="AD9" s="15">
        <f>L64</f>
        <v>6.4054624401782867</v>
      </c>
      <c r="AE9" s="15">
        <f>M65</f>
        <v>5.0809043028767338</v>
      </c>
      <c r="AF9" s="15">
        <f>N66</f>
        <v>3.8258039558245978</v>
      </c>
      <c r="AG9" s="15">
        <f>O67</f>
        <v>2.1832323911911291</v>
      </c>
      <c r="AH9" s="15">
        <f t="shared" ref="AH9:AL9" si="28">P67</f>
        <v>3.2800239014342378</v>
      </c>
      <c r="AI9" s="15">
        <f t="shared" si="28"/>
        <v>3.9307645589770432</v>
      </c>
      <c r="AJ9" s="15">
        <f t="shared" si="28"/>
        <v>4.3713259855868589</v>
      </c>
      <c r="AK9" s="15">
        <f t="shared" si="28"/>
        <v>4.7077638260594625</v>
      </c>
      <c r="AL9" s="15">
        <f t="shared" si="28"/>
        <v>5</v>
      </c>
    </row>
    <row r="10" spans="1:38" ht="14.45" x14ac:dyDescent="0.3">
      <c r="A10" s="31"/>
      <c r="B10" s="31"/>
      <c r="E10" s="24">
        <f t="shared" si="3"/>
        <v>0.8</v>
      </c>
      <c r="F10" s="21"/>
      <c r="G10" s="21"/>
      <c r="H10" s="21"/>
      <c r="I10" s="21"/>
      <c r="J10" s="21"/>
      <c r="K10" s="22">
        <v>0</v>
      </c>
      <c r="L10" s="23">
        <f t="shared" ref="L10" si="29">0.25*(L23+K24+L25+M24)</f>
        <v>1.0016912253184707</v>
      </c>
      <c r="M10" s="23">
        <f t="shared" ref="M10" si="30">0.25*(M23+L24+M25+N24)</f>
        <v>1.7717489297445375</v>
      </c>
      <c r="N10" s="23">
        <f t="shared" ref="N10" si="31">0.25*(N23+M24+N25+O24)</f>
        <v>2.3680220210742604</v>
      </c>
      <c r="O10" s="20">
        <f t="shared" ref="O10" si="32">0.25*(O23+N24+O25+P24)</f>
        <v>2.8271636382867542</v>
      </c>
      <c r="P10" s="20">
        <f t="shared" ref="P10" si="33">0.25*(P23+O24+P25+Q24)</f>
        <v>3.177828177889205</v>
      </c>
      <c r="Q10" s="20">
        <f t="shared" ref="Q10" si="34">0.25*(Q23+P24+Q25+R24)</f>
        <v>3.4473949722273733</v>
      </c>
      <c r="R10" s="20">
        <f t="shared" ref="R10" si="35">0.25*(R23+Q24+R25+S24)</f>
        <v>3.6606012464478317</v>
      </c>
      <c r="S10" s="20">
        <f t="shared" ref="S10" si="36">0.25*(S23+R24+S25+T24)</f>
        <v>3.8386887340329023</v>
      </c>
      <c r="T10" s="19">
        <f t="shared" si="2"/>
        <v>4</v>
      </c>
      <c r="U10" s="13"/>
      <c r="W10" s="10" t="s">
        <v>16</v>
      </c>
      <c r="X10" s="14">
        <f>B4</f>
        <v>101325</v>
      </c>
      <c r="Y10" s="14">
        <f>(X10+(X9^2)/2)-(Y9^2)/2</f>
        <v>101323.21314558187</v>
      </c>
      <c r="Z10" s="14">
        <f t="shared" ref="Z10:AL10" si="37">(Y10+(Y9^2)/2)-(Z9^2)/2</f>
        <v>101320.44830224311</v>
      </c>
      <c r="AA10" s="14">
        <f t="shared" si="37"/>
        <v>101314.8214524327</v>
      </c>
      <c r="AB10" s="14">
        <f t="shared" si="37"/>
        <v>101278.8134283704</v>
      </c>
      <c r="AC10" s="14">
        <f t="shared" si="37"/>
        <v>101340.43202717217</v>
      </c>
      <c r="AD10" s="14">
        <f t="shared" si="37"/>
        <v>101354.48502546373</v>
      </c>
      <c r="AE10" s="14">
        <f t="shared" si="37"/>
        <v>101362.09220573251</v>
      </c>
      <c r="AF10" s="14">
        <f t="shared" si="37"/>
        <v>101367.6816120458</v>
      </c>
      <c r="AG10" s="14">
        <f t="shared" si="37"/>
        <v>101372.61674816303</v>
      </c>
      <c r="AH10" s="14">
        <f t="shared" si="37"/>
        <v>101369.62072160302</v>
      </c>
      <c r="AI10" s="14">
        <f t="shared" si="37"/>
        <v>101367.27454499094</v>
      </c>
      <c r="AJ10" s="14">
        <f t="shared" si="37"/>
        <v>101365.44575456387</v>
      </c>
      <c r="AK10" s="14">
        <f t="shared" si="37"/>
        <v>101363.91847987902</v>
      </c>
      <c r="AL10" s="14">
        <f t="shared" si="37"/>
        <v>101362.5</v>
      </c>
    </row>
    <row r="11" spans="1:38" ht="14.45" x14ac:dyDescent="0.3">
      <c r="A11" s="31"/>
      <c r="B11" s="31"/>
      <c r="E11" s="24">
        <f t="shared" si="3"/>
        <v>0.60000000000000009</v>
      </c>
      <c r="F11" s="21"/>
      <c r="G11" s="21"/>
      <c r="H11" s="21"/>
      <c r="I11" s="21"/>
      <c r="J11" s="21"/>
      <c r="K11" s="21"/>
      <c r="L11" s="22">
        <v>0</v>
      </c>
      <c r="M11" s="23">
        <f t="shared" ref="M11" si="38">0.25*(M24+L25+M26+N25)</f>
        <v>0.79863173742430993</v>
      </c>
      <c r="N11" s="23">
        <f t="shared" ref="N11" si="39">0.25*(N24+M25+N26+O25)</f>
        <v>1.4227780199527034</v>
      </c>
      <c r="O11" s="20">
        <f t="shared" ref="O11" si="40">0.25*(O24+N25+O26+P25)</f>
        <v>1.8961185331575545</v>
      </c>
      <c r="P11" s="20">
        <f t="shared" ref="P11" si="41">0.25*(P24+O25+P26+Q25)</f>
        <v>2.2439513417247068</v>
      </c>
      <c r="Q11" s="20">
        <f t="shared" ref="Q11" si="42">0.25*(Q24+P25+Q26+R25)</f>
        <v>2.5006389247383138</v>
      </c>
      <c r="R11" s="20">
        <f t="shared" ref="R11" si="43">0.25*(R24+Q25+R26+S25)</f>
        <v>2.6968677152237612</v>
      </c>
      <c r="S11" s="20">
        <f t="shared" ref="S11" si="44">0.25*(S24+R25+S26+T25)</f>
        <v>2.8568755782467155</v>
      </c>
      <c r="T11" s="19">
        <f t="shared" si="2"/>
        <v>3</v>
      </c>
      <c r="U11" s="13"/>
      <c r="W11" s="10" t="s">
        <v>17</v>
      </c>
      <c r="X11" s="15">
        <f>(X10-$B$4)/(($B$3^2)/2)</f>
        <v>0</v>
      </c>
      <c r="Y11" s="15">
        <f t="shared" ref="Y11:AL11" si="45">(Y10-$B$4)/(($B$3^2)/2)</f>
        <v>-3.5737088362511715E-2</v>
      </c>
      <c r="Z11" s="15">
        <f t="shared" si="45"/>
        <v>-9.103395513782743E-2</v>
      </c>
      <c r="AA11" s="15">
        <f t="shared" si="45"/>
        <v>-0.20357095134590053</v>
      </c>
      <c r="AB11" s="15">
        <f t="shared" si="45"/>
        <v>-0.92373143259203061</v>
      </c>
      <c r="AC11" s="15">
        <f t="shared" si="45"/>
        <v>0.30864054344332542</v>
      </c>
      <c r="AD11" s="15">
        <f t="shared" si="45"/>
        <v>0.58970050927455309</v>
      </c>
      <c r="AE11" s="15">
        <f t="shared" si="45"/>
        <v>0.74184411465015732</v>
      </c>
      <c r="AF11" s="15">
        <f t="shared" si="45"/>
        <v>0.85363224091590384</v>
      </c>
      <c r="AG11" s="15">
        <f t="shared" si="45"/>
        <v>0.95233496326050959</v>
      </c>
      <c r="AH11" s="15">
        <f t="shared" si="45"/>
        <v>0.89241443206032267</v>
      </c>
      <c r="AI11" s="15">
        <f t="shared" si="45"/>
        <v>0.84549089981883296</v>
      </c>
      <c r="AJ11" s="15">
        <f t="shared" si="45"/>
        <v>0.80891509127744943</v>
      </c>
      <c r="AK11" s="15">
        <f t="shared" si="45"/>
        <v>0.77836959758045854</v>
      </c>
      <c r="AL11" s="15">
        <f t="shared" si="45"/>
        <v>0.75</v>
      </c>
    </row>
    <row r="12" spans="1:38" ht="14.45" x14ac:dyDescent="0.3">
      <c r="A12" s="29" t="s">
        <v>5</v>
      </c>
      <c r="B12" s="30">
        <v>15</v>
      </c>
      <c r="E12" s="24">
        <f t="shared" si="3"/>
        <v>0.4</v>
      </c>
      <c r="F12" s="21"/>
      <c r="G12" s="21"/>
      <c r="H12" s="21"/>
      <c r="I12" s="21"/>
      <c r="J12" s="21"/>
      <c r="K12" s="21"/>
      <c r="L12" s="21"/>
      <c r="M12" s="22">
        <v>0</v>
      </c>
      <c r="N12" s="23">
        <f t="shared" ref="N12" si="46">0.25*(N25+M26+N27+O26)</f>
        <v>0.62833978815468972</v>
      </c>
      <c r="O12" s="20">
        <f t="shared" ref="O12" si="47">0.25*(O25+N26+O27+P26)</f>
        <v>1.0905811326660562</v>
      </c>
      <c r="P12" s="20">
        <f t="shared" ref="P12" si="48">0.25*(P25+O26+P27+Q26)</f>
        <v>1.4012197311137564</v>
      </c>
      <c r="Q12" s="20">
        <f t="shared" ref="Q12" si="49">0.25*(Q25+P26+Q27+R26)</f>
        <v>1.614341669777416</v>
      </c>
      <c r="R12" s="20">
        <f t="shared" ref="R12" si="50">0.25*(R25+Q26+R27+S26)</f>
        <v>1.7693551114621868</v>
      </c>
      <c r="S12" s="20">
        <f t="shared" ref="S12" si="51">0.25*(S25+R26+S27+T26)</f>
        <v>1.8919458637301985</v>
      </c>
      <c r="T12" s="19">
        <f>T13+(($B$3*$B$6)/$B$7)*$B$1</f>
        <v>2</v>
      </c>
      <c r="U12" s="13"/>
    </row>
    <row r="13" spans="1:38" ht="14.45" x14ac:dyDescent="0.3">
      <c r="A13" s="29" t="s">
        <v>6</v>
      </c>
      <c r="B13" s="30">
        <v>11</v>
      </c>
      <c r="E13" s="24">
        <f t="shared" si="3"/>
        <v>0.2</v>
      </c>
      <c r="F13" s="21"/>
      <c r="G13" s="21"/>
      <c r="H13" s="21"/>
      <c r="I13" s="21"/>
      <c r="J13" s="21"/>
      <c r="K13" s="21"/>
      <c r="L13" s="21"/>
      <c r="M13" s="21"/>
      <c r="N13" s="22">
        <v>0</v>
      </c>
      <c r="O13" s="20">
        <f t="shared" ref="O13" si="52">0.25*(O26+N27+O28+P27)</f>
        <v>0.43664647823822583</v>
      </c>
      <c r="P13" s="20">
        <f t="shared" ref="P13" si="53">0.25*(P26+O27+P28+Q27)</f>
        <v>0.65600478028684761</v>
      </c>
      <c r="Q13" s="20">
        <f t="shared" ref="Q13" si="54">0.25*(Q26+P27+Q28+R27)</f>
        <v>0.78615291179540869</v>
      </c>
      <c r="R13" s="20">
        <f t="shared" ref="R13" si="55">0.25*(R26+Q27+R28+S27)</f>
        <v>0.87426519711737183</v>
      </c>
      <c r="S13" s="20">
        <f t="shared" ref="S13" si="56">0.25*(S26+R27+S28+T27)</f>
        <v>0.94155276521189257</v>
      </c>
      <c r="T13" s="19">
        <f>T14+(($B$3*$B$6)/$B$7)*$B$1</f>
        <v>1</v>
      </c>
      <c r="U13" s="13"/>
    </row>
    <row r="14" spans="1:38" ht="14.45" x14ac:dyDescent="0.3">
      <c r="A14" s="29" t="s">
        <v>7</v>
      </c>
      <c r="B14" s="30">
        <v>15</v>
      </c>
      <c r="E14" s="24">
        <v>0</v>
      </c>
      <c r="F14" s="21"/>
      <c r="G14" s="21"/>
      <c r="H14" s="21"/>
      <c r="I14" s="21"/>
      <c r="J14" s="21"/>
      <c r="K14" s="21"/>
      <c r="L14" s="21"/>
      <c r="M14" s="21"/>
      <c r="N14" s="21"/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3"/>
      <c r="W14" s="24">
        <v>0</v>
      </c>
      <c r="X14" s="24">
        <v>1</v>
      </c>
      <c r="Y14" s="24">
        <v>2</v>
      </c>
      <c r="Z14" s="24">
        <v>3</v>
      </c>
      <c r="AA14" s="24">
        <v>4</v>
      </c>
      <c r="AB14" s="24">
        <v>5</v>
      </c>
      <c r="AC14" s="24">
        <v>6</v>
      </c>
      <c r="AD14" s="24">
        <v>7</v>
      </c>
      <c r="AE14" s="24">
        <v>8</v>
      </c>
      <c r="AF14" s="24">
        <v>9</v>
      </c>
      <c r="AG14" s="24">
        <v>10</v>
      </c>
      <c r="AH14" s="24">
        <v>11</v>
      </c>
      <c r="AI14" s="24">
        <v>12</v>
      </c>
      <c r="AJ14" s="24">
        <v>13</v>
      </c>
      <c r="AK14" s="24">
        <v>14</v>
      </c>
      <c r="AL14" s="24">
        <v>15</v>
      </c>
    </row>
    <row r="15" spans="1:38" ht="14.45" x14ac:dyDescent="0.3">
      <c r="A15" s="29" t="s">
        <v>21</v>
      </c>
      <c r="B15" s="30">
        <v>6</v>
      </c>
      <c r="E15" s="2"/>
      <c r="F15" s="24">
        <v>0</v>
      </c>
      <c r="G15" s="24">
        <f>F15+$B$1</f>
        <v>0.2</v>
      </c>
      <c r="H15" s="24">
        <f t="shared" ref="H15:T15" si="57">G15+$B$1</f>
        <v>0.4</v>
      </c>
      <c r="I15" s="24">
        <f t="shared" si="57"/>
        <v>0.60000000000000009</v>
      </c>
      <c r="J15" s="24">
        <f t="shared" si="57"/>
        <v>0.8</v>
      </c>
      <c r="K15" s="24">
        <f t="shared" si="57"/>
        <v>1</v>
      </c>
      <c r="L15" s="24">
        <f t="shared" si="57"/>
        <v>1.2</v>
      </c>
      <c r="M15" s="24">
        <f t="shared" si="57"/>
        <v>1.4</v>
      </c>
      <c r="N15" s="24">
        <f t="shared" si="57"/>
        <v>1.5999999999999999</v>
      </c>
      <c r="O15" s="24">
        <f t="shared" si="57"/>
        <v>1.7999999999999998</v>
      </c>
      <c r="P15" s="24">
        <f t="shared" si="57"/>
        <v>1.9999999999999998</v>
      </c>
      <c r="Q15" s="24">
        <f t="shared" si="57"/>
        <v>2.1999999999999997</v>
      </c>
      <c r="R15" s="24">
        <f t="shared" si="57"/>
        <v>2.4</v>
      </c>
      <c r="S15" s="24">
        <f t="shared" si="57"/>
        <v>2.6</v>
      </c>
      <c r="T15" s="24">
        <f t="shared" si="57"/>
        <v>2.8000000000000003</v>
      </c>
      <c r="U15" s="13"/>
      <c r="W15" s="10" t="s">
        <v>13</v>
      </c>
      <c r="X15" s="14">
        <f>F4</f>
        <v>10</v>
      </c>
      <c r="Y15" s="14">
        <f t="shared" ref="Y15:AL15" si="58">G4</f>
        <v>10</v>
      </c>
      <c r="Z15" s="14">
        <f t="shared" si="58"/>
        <v>10</v>
      </c>
      <c r="AA15" s="14">
        <f t="shared" si="58"/>
        <v>10</v>
      </c>
      <c r="AB15" s="14">
        <f t="shared" si="58"/>
        <v>10</v>
      </c>
      <c r="AC15" s="14">
        <f t="shared" si="58"/>
        <v>10</v>
      </c>
      <c r="AD15" s="14">
        <f t="shared" si="58"/>
        <v>10</v>
      </c>
      <c r="AE15" s="14">
        <f t="shared" si="58"/>
        <v>10</v>
      </c>
      <c r="AF15" s="14">
        <f t="shared" si="58"/>
        <v>10</v>
      </c>
      <c r="AG15" s="14">
        <f t="shared" si="58"/>
        <v>10</v>
      </c>
      <c r="AH15" s="14">
        <f t="shared" si="58"/>
        <v>10</v>
      </c>
      <c r="AI15" s="14">
        <f t="shared" si="58"/>
        <v>10</v>
      </c>
      <c r="AJ15" s="14">
        <f t="shared" si="58"/>
        <v>10</v>
      </c>
      <c r="AK15" s="14">
        <f t="shared" si="58"/>
        <v>10</v>
      </c>
      <c r="AL15" s="14">
        <f t="shared" si="58"/>
        <v>10</v>
      </c>
    </row>
    <row r="16" spans="1:38" ht="14.45" x14ac:dyDescent="0.3">
      <c r="A16" s="29" t="s">
        <v>8</v>
      </c>
      <c r="B16" s="30">
        <v>0</v>
      </c>
      <c r="U16" s="13"/>
      <c r="W16" s="10" t="s">
        <v>14</v>
      </c>
      <c r="X16" s="14">
        <f>F15</f>
        <v>0</v>
      </c>
      <c r="Y16" s="14">
        <f t="shared" ref="Y16:AL16" si="59">G15</f>
        <v>0.2</v>
      </c>
      <c r="Z16" s="14">
        <f t="shared" si="59"/>
        <v>0.4</v>
      </c>
      <c r="AA16" s="14">
        <f t="shared" si="59"/>
        <v>0.60000000000000009</v>
      </c>
      <c r="AB16" s="14">
        <f t="shared" si="59"/>
        <v>0.8</v>
      </c>
      <c r="AC16" s="14">
        <f t="shared" si="59"/>
        <v>1</v>
      </c>
      <c r="AD16" s="14">
        <f t="shared" si="59"/>
        <v>1.2</v>
      </c>
      <c r="AE16" s="14">
        <f t="shared" si="59"/>
        <v>1.4</v>
      </c>
      <c r="AF16" s="14">
        <f t="shared" si="59"/>
        <v>1.5999999999999999</v>
      </c>
      <c r="AG16" s="14">
        <f t="shared" si="59"/>
        <v>1.7999999999999998</v>
      </c>
      <c r="AH16" s="14">
        <f t="shared" si="59"/>
        <v>1.9999999999999998</v>
      </c>
      <c r="AI16" s="14">
        <f t="shared" si="59"/>
        <v>2.1999999999999997</v>
      </c>
      <c r="AJ16" s="14">
        <f t="shared" si="59"/>
        <v>2.4</v>
      </c>
      <c r="AK16" s="14">
        <f t="shared" si="59"/>
        <v>2.6</v>
      </c>
      <c r="AL16" s="14">
        <f t="shared" si="59"/>
        <v>2.8000000000000003</v>
      </c>
    </row>
    <row r="17" spans="4:41" x14ac:dyDescent="0.25">
      <c r="D17" s="26" t="s">
        <v>20</v>
      </c>
      <c r="U17" s="13"/>
      <c r="W17" s="10" t="s">
        <v>15</v>
      </c>
      <c r="X17" s="15">
        <f>$E$4</f>
        <v>1.9999999999999998</v>
      </c>
      <c r="Y17" s="15">
        <f t="shared" ref="Y17:AL17" si="60">$E$4</f>
        <v>1.9999999999999998</v>
      </c>
      <c r="Z17" s="15">
        <f t="shared" si="60"/>
        <v>1.9999999999999998</v>
      </c>
      <c r="AA17" s="15">
        <f t="shared" si="60"/>
        <v>1.9999999999999998</v>
      </c>
      <c r="AB17" s="15">
        <f t="shared" si="60"/>
        <v>1.9999999999999998</v>
      </c>
      <c r="AC17" s="15">
        <f t="shared" si="60"/>
        <v>1.9999999999999998</v>
      </c>
      <c r="AD17" s="15">
        <f t="shared" si="60"/>
        <v>1.9999999999999998</v>
      </c>
      <c r="AE17" s="15">
        <f t="shared" si="60"/>
        <v>1.9999999999999998</v>
      </c>
      <c r="AF17" s="15">
        <f t="shared" si="60"/>
        <v>1.9999999999999998</v>
      </c>
      <c r="AG17" s="15">
        <f t="shared" si="60"/>
        <v>1.9999999999999998</v>
      </c>
      <c r="AH17" s="15">
        <f t="shared" si="60"/>
        <v>1.9999999999999998</v>
      </c>
      <c r="AI17" s="15">
        <f t="shared" si="60"/>
        <v>1.9999999999999998</v>
      </c>
      <c r="AJ17" s="15">
        <f t="shared" si="60"/>
        <v>1.9999999999999998</v>
      </c>
      <c r="AK17" s="15">
        <f t="shared" si="60"/>
        <v>1.9999999999999998</v>
      </c>
      <c r="AL17" s="15">
        <f t="shared" si="60"/>
        <v>1.9999999999999998</v>
      </c>
    </row>
    <row r="18" spans="4:41" ht="14.45" x14ac:dyDescent="0.3">
      <c r="E18" s="24">
        <f>E19+$B$1</f>
        <v>1.9999999999999998</v>
      </c>
      <c r="F18" s="18">
        <v>10</v>
      </c>
      <c r="G18" s="18">
        <v>10</v>
      </c>
      <c r="H18" s="18">
        <v>10</v>
      </c>
      <c r="I18" s="18">
        <v>10</v>
      </c>
      <c r="J18" s="18">
        <v>10</v>
      </c>
      <c r="K18" s="18">
        <v>10</v>
      </c>
      <c r="L18" s="18">
        <v>10</v>
      </c>
      <c r="M18" s="18">
        <v>10</v>
      </c>
      <c r="N18" s="18">
        <v>10</v>
      </c>
      <c r="O18" s="18">
        <v>10</v>
      </c>
      <c r="P18" s="18">
        <v>10</v>
      </c>
      <c r="Q18" s="18">
        <v>10</v>
      </c>
      <c r="R18" s="18">
        <v>10</v>
      </c>
      <c r="S18" s="18">
        <v>10</v>
      </c>
      <c r="T18" s="18">
        <v>10</v>
      </c>
      <c r="U18" s="13"/>
      <c r="W18" s="10" t="s">
        <v>11</v>
      </c>
      <c r="X18" s="15">
        <f>F31</f>
        <v>10</v>
      </c>
      <c r="Y18" s="15">
        <f t="shared" ref="Y18:AL18" si="61">G31</f>
        <v>9.8582767319405562</v>
      </c>
      <c r="Z18" s="15">
        <f t="shared" si="61"/>
        <v>9.675659146623925</v>
      </c>
      <c r="AA18" s="15">
        <f t="shared" si="61"/>
        <v>9.4096348577020272</v>
      </c>
      <c r="AB18" s="15">
        <f t="shared" si="61"/>
        <v>9.0239139480506481</v>
      </c>
      <c r="AC18" s="15">
        <f t="shared" si="61"/>
        <v>8.5155650282000739</v>
      </c>
      <c r="AD18" s="15">
        <f t="shared" si="61"/>
        <v>7.9485462295957632</v>
      </c>
      <c r="AE18" s="15">
        <f t="shared" si="61"/>
        <v>7.3892542421982021</v>
      </c>
      <c r="AF18" s="15">
        <f t="shared" si="61"/>
        <v>6.8790489771887486</v>
      </c>
      <c r="AG18" s="15">
        <f t="shared" si="61"/>
        <v>6.4349676836739356</v>
      </c>
      <c r="AH18" s="15">
        <f t="shared" si="61"/>
        <v>6.057855553139877</v>
      </c>
      <c r="AI18" s="15">
        <f t="shared" si="61"/>
        <v>5.7394572119467924</v>
      </c>
      <c r="AJ18" s="15">
        <f t="shared" si="61"/>
        <v>5.4669808788878882</v>
      </c>
      <c r="AK18" s="15">
        <f t="shared" si="61"/>
        <v>5.2256558891081895</v>
      </c>
      <c r="AL18" s="15">
        <f t="shared" si="61"/>
        <v>5</v>
      </c>
    </row>
    <row r="19" spans="4:41" ht="14.45" x14ac:dyDescent="0.3">
      <c r="E19" s="24">
        <f t="shared" ref="E19:E27" si="62">E20+$B$1</f>
        <v>1.7999999999999998</v>
      </c>
      <c r="F19" s="18">
        <v>8</v>
      </c>
      <c r="G19" s="18">
        <v>8.0283446536118888</v>
      </c>
      <c r="H19" s="18">
        <v>8.064868170675215</v>
      </c>
      <c r="I19" s="18">
        <v>8.1180730284595946</v>
      </c>
      <c r="J19" s="18">
        <v>8.1952172103898704</v>
      </c>
      <c r="K19" s="18">
        <v>8.2968869943599852</v>
      </c>
      <c r="L19" s="18">
        <v>8.4102907540808474</v>
      </c>
      <c r="M19" s="18">
        <v>8.5221491515603596</v>
      </c>
      <c r="N19" s="18">
        <v>8.6241902045622503</v>
      </c>
      <c r="O19" s="18">
        <v>8.7130064632652129</v>
      </c>
      <c r="P19" s="18">
        <v>8.7884288893720246</v>
      </c>
      <c r="Q19" s="18">
        <v>8.8521085576106397</v>
      </c>
      <c r="R19" s="18">
        <v>8.9066038242224224</v>
      </c>
      <c r="S19" s="18">
        <v>8.9548688221783621</v>
      </c>
      <c r="T19" s="18">
        <v>9</v>
      </c>
      <c r="W19" s="10" t="s">
        <v>12</v>
      </c>
      <c r="X19" s="15">
        <f>F44</f>
        <v>0</v>
      </c>
      <c r="Y19" s="15">
        <f t="shared" ref="Y19:AL19" si="63">G44</f>
        <v>0</v>
      </c>
      <c r="Z19" s="15">
        <f t="shared" si="63"/>
        <v>0</v>
      </c>
      <c r="AA19" s="15">
        <f t="shared" si="63"/>
        <v>0</v>
      </c>
      <c r="AB19" s="15">
        <f t="shared" si="63"/>
        <v>0</v>
      </c>
      <c r="AC19" s="15">
        <f t="shared" si="63"/>
        <v>0</v>
      </c>
      <c r="AD19" s="15">
        <f t="shared" si="63"/>
        <v>0</v>
      </c>
      <c r="AE19" s="15">
        <f t="shared" si="63"/>
        <v>0</v>
      </c>
      <c r="AF19" s="15">
        <f t="shared" si="63"/>
        <v>0</v>
      </c>
      <c r="AG19" s="15">
        <f t="shared" si="63"/>
        <v>0</v>
      </c>
      <c r="AH19" s="15">
        <f t="shared" si="63"/>
        <v>0</v>
      </c>
      <c r="AI19" s="15">
        <f t="shared" si="63"/>
        <v>0</v>
      </c>
      <c r="AJ19" s="15">
        <f t="shared" si="63"/>
        <v>0</v>
      </c>
      <c r="AK19" s="15">
        <f t="shared" si="63"/>
        <v>0</v>
      </c>
      <c r="AL19" s="15">
        <f t="shared" si="63"/>
        <v>0</v>
      </c>
      <c r="AM19" s="1"/>
      <c r="AN19" s="1"/>
      <c r="AO19" s="1"/>
    </row>
    <row r="20" spans="4:41" ht="14.45" x14ac:dyDescent="0.3">
      <c r="E20" s="24">
        <f t="shared" si="62"/>
        <v>1.5999999999999999</v>
      </c>
      <c r="F20" s="18">
        <v>6</v>
      </c>
      <c r="G20" s="18">
        <v>6.0485104437723347</v>
      </c>
      <c r="H20" s="18">
        <v>6.1130550006293811</v>
      </c>
      <c r="I20" s="18">
        <v>6.2122067327732928</v>
      </c>
      <c r="J20" s="18">
        <v>6.3659088187399</v>
      </c>
      <c r="K20" s="18">
        <v>6.5820400129692231</v>
      </c>
      <c r="L20" s="18">
        <v>6.8221268704030482</v>
      </c>
      <c r="M20" s="18">
        <v>7.0541156475983451</v>
      </c>
      <c r="N20" s="18">
        <v>7.2616052034234286</v>
      </c>
      <c r="O20" s="18">
        <v>7.4394067591265731</v>
      </c>
      <c r="P20" s="18">
        <v>7.5886005366122475</v>
      </c>
      <c r="Q20" s="18">
        <v>7.7134015168481147</v>
      </c>
      <c r="R20" s="18">
        <v>7.8194379171006885</v>
      </c>
      <c r="S20" s="18">
        <v>7.9128714644910305</v>
      </c>
      <c r="T20" s="18">
        <v>8</v>
      </c>
      <c r="W20" s="10" t="s">
        <v>18</v>
      </c>
      <c r="X20" s="15">
        <f>F57</f>
        <v>10</v>
      </c>
      <c r="Y20" s="15">
        <f t="shared" ref="Y20:AL20" si="64">G57</f>
        <v>9.8582767319405562</v>
      </c>
      <c r="Z20" s="15">
        <f t="shared" si="64"/>
        <v>9.675659146623925</v>
      </c>
      <c r="AA20" s="15">
        <f t="shared" si="64"/>
        <v>9.4096348577020272</v>
      </c>
      <c r="AB20" s="15">
        <f t="shared" si="64"/>
        <v>9.0239139480506481</v>
      </c>
      <c r="AC20" s="15">
        <f t="shared" si="64"/>
        <v>8.5155650282000739</v>
      </c>
      <c r="AD20" s="15">
        <f t="shared" si="64"/>
        <v>7.9485462295957632</v>
      </c>
      <c r="AE20" s="15">
        <f t="shared" si="64"/>
        <v>7.3892542421982021</v>
      </c>
      <c r="AF20" s="15">
        <f t="shared" si="64"/>
        <v>6.8790489771887486</v>
      </c>
      <c r="AG20" s="15">
        <f t="shared" si="64"/>
        <v>6.4349676836739356</v>
      </c>
      <c r="AH20" s="15">
        <f t="shared" si="64"/>
        <v>6.057855553139877</v>
      </c>
      <c r="AI20" s="15">
        <f t="shared" si="64"/>
        <v>5.7394572119467924</v>
      </c>
      <c r="AJ20" s="15">
        <f t="shared" si="64"/>
        <v>5.4669808788878882</v>
      </c>
      <c r="AK20" s="15">
        <f t="shared" si="64"/>
        <v>5.2256558891081895</v>
      </c>
      <c r="AL20" s="15">
        <f t="shared" si="64"/>
        <v>5</v>
      </c>
    </row>
    <row r="21" spans="4:41" ht="14.45" x14ac:dyDescent="0.3">
      <c r="E21" s="24">
        <f t="shared" si="62"/>
        <v>1.4</v>
      </c>
      <c r="F21" s="18">
        <v>4</v>
      </c>
      <c r="G21" s="18">
        <v>4.0526421208480707</v>
      </c>
      <c r="H21" s="18">
        <v>4.1266346552966837</v>
      </c>
      <c r="I21" s="18">
        <v>4.2517900832642974</v>
      </c>
      <c r="J21" s="18">
        <v>4.4741713188272154</v>
      </c>
      <c r="K21" s="18">
        <v>4.8432373683739574</v>
      </c>
      <c r="L21" s="18">
        <v>5.2420610669637782</v>
      </c>
      <c r="M21" s="18">
        <v>5.6105813650065457</v>
      </c>
      <c r="N21" s="18">
        <v>5.9287082024065505</v>
      </c>
      <c r="O21" s="18">
        <v>6.1944148332054016</v>
      </c>
      <c r="P21" s="18">
        <v>6.4131649811022822</v>
      </c>
      <c r="Q21" s="18">
        <v>6.5934590560688786</v>
      </c>
      <c r="R21" s="18">
        <v>6.744874862841189</v>
      </c>
      <c r="S21" s="18">
        <v>6.8771791186850697</v>
      </c>
      <c r="T21" s="18">
        <v>7</v>
      </c>
      <c r="W21" s="10" t="s">
        <v>16</v>
      </c>
      <c r="X21" s="14">
        <f>X10</f>
        <v>101325</v>
      </c>
      <c r="Y21" s="14">
        <f>(X21+(X20^2)/2)-(Y20^2)/2</f>
        <v>101326.40718993824</v>
      </c>
      <c r="Z21" s="14">
        <f t="shared" ref="Z21:AL21" si="65">(Y21+(Y20^2)/2)-(Z20^2)/2</f>
        <v>101328.19081003917</v>
      </c>
      <c r="AA21" s="14">
        <f t="shared" si="65"/>
        <v>101330.72938592236</v>
      </c>
      <c r="AB21" s="14">
        <f t="shared" si="65"/>
        <v>101334.28448852908</v>
      </c>
      <c r="AC21" s="14">
        <f t="shared" si="65"/>
        <v>101338.74257612525</v>
      </c>
      <c r="AD21" s="14">
        <f t="shared" si="65"/>
        <v>101343.41030641799</v>
      </c>
      <c r="AE21" s="14">
        <f t="shared" si="65"/>
        <v>101347.69946087209</v>
      </c>
      <c r="AF21" s="14">
        <f t="shared" si="65"/>
        <v>101351.33934258472</v>
      </c>
      <c r="AG21" s="14">
        <f t="shared" si="65"/>
        <v>101354.29559545504</v>
      </c>
      <c r="AH21" s="14">
        <f t="shared" si="65"/>
        <v>101356.65119304864</v>
      </c>
      <c r="AI21" s="14">
        <f t="shared" si="65"/>
        <v>101358.52931545612</v>
      </c>
      <c r="AJ21" s="14">
        <f t="shared" si="65"/>
        <v>101360.05606003494</v>
      </c>
      <c r="AK21" s="14">
        <f t="shared" si="65"/>
        <v>101361.34626026431</v>
      </c>
      <c r="AL21" s="14">
        <f t="shared" si="65"/>
        <v>101362.5</v>
      </c>
    </row>
    <row r="22" spans="4:41" ht="14.45" x14ac:dyDescent="0.3">
      <c r="E22" s="24">
        <f t="shared" si="62"/>
        <v>1.2</v>
      </c>
      <c r="F22" s="18">
        <v>2</v>
      </c>
      <c r="G22" s="18">
        <v>2.0354233843232645</v>
      </c>
      <c r="H22" s="18">
        <v>2.0890514164449865</v>
      </c>
      <c r="I22" s="18">
        <v>2.1941476261599977</v>
      </c>
      <c r="J22" s="18">
        <v>2.4357490049307073</v>
      </c>
      <c r="K22" s="18">
        <v>3.0746770747356162</v>
      </c>
      <c r="L22" s="18">
        <v>3.6922986640715623</v>
      </c>
      <c r="M22" s="18">
        <v>4.2174405430575108</v>
      </c>
      <c r="N22" s="18">
        <v>4.6482314079908287</v>
      </c>
      <c r="O22" s="18">
        <v>4.996379390186207</v>
      </c>
      <c r="P22" s="18">
        <v>5.2761854985226018</v>
      </c>
      <c r="Q22" s="18">
        <v>5.5023948634839357</v>
      </c>
      <c r="R22" s="18">
        <v>5.6894233595101182</v>
      </c>
      <c r="S22" s="18">
        <v>5.8509701474080629</v>
      </c>
      <c r="T22" s="18">
        <v>6</v>
      </c>
      <c r="W22" s="10" t="s">
        <v>17</v>
      </c>
      <c r="X22" s="15">
        <f>(X21-$B$4)/(($B$3^2)/2)</f>
        <v>0</v>
      </c>
      <c r="Y22" s="15">
        <f t="shared" ref="Y22:AL22" si="66">(Y21-$B$4)/(($B$3^2)/2)</f>
        <v>2.8143798764795065E-2</v>
      </c>
      <c r="Z22" s="15">
        <f t="shared" si="66"/>
        <v>6.3816200783476232E-2</v>
      </c>
      <c r="AA22" s="15">
        <f t="shared" si="66"/>
        <v>0.11458771844714648</v>
      </c>
      <c r="AB22" s="15">
        <f t="shared" si="66"/>
        <v>0.18568977058166639</v>
      </c>
      <c r="AC22" s="15">
        <f t="shared" si="66"/>
        <v>0.27485152250505052</v>
      </c>
      <c r="AD22" s="15">
        <f t="shared" si="66"/>
        <v>0.3682061283598887</v>
      </c>
      <c r="AE22" s="15">
        <f t="shared" si="66"/>
        <v>0.45398921744170367</v>
      </c>
      <c r="AF22" s="15">
        <f t="shared" si="66"/>
        <v>0.5267868516943417</v>
      </c>
      <c r="AG22" s="15">
        <f t="shared" si="66"/>
        <v>0.58591190910083246</v>
      </c>
      <c r="AH22" s="15">
        <f t="shared" si="66"/>
        <v>0.63302386097289853</v>
      </c>
      <c r="AI22" s="15">
        <f t="shared" si="66"/>
        <v>0.67058630912244555</v>
      </c>
      <c r="AJ22" s="15">
        <f t="shared" si="66"/>
        <v>0.70112120069883532</v>
      </c>
      <c r="AK22" s="15">
        <f t="shared" si="66"/>
        <v>0.72692520528624305</v>
      </c>
      <c r="AL22" s="15">
        <f t="shared" si="66"/>
        <v>0.75</v>
      </c>
    </row>
    <row r="23" spans="4:41" ht="14.45" x14ac:dyDescent="0.3">
      <c r="E23" s="24">
        <f t="shared" si="62"/>
        <v>1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1.3274232615662402</v>
      </c>
      <c r="L23" s="18">
        <v>2.2350159715293452</v>
      </c>
      <c r="M23" s="18">
        <v>2.9186507351611093</v>
      </c>
      <c r="N23" s="18">
        <v>3.4503974963130486</v>
      </c>
      <c r="O23" s="18">
        <v>3.8666858210259982</v>
      </c>
      <c r="P23" s="18">
        <v>4.1928027593179866</v>
      </c>
      <c r="Q23" s="18">
        <v>4.450511539834145</v>
      </c>
      <c r="R23" s="18">
        <v>4.659453564307289</v>
      </c>
      <c r="S23" s="18">
        <v>4.8372781114370635</v>
      </c>
      <c r="T23" s="18">
        <v>5</v>
      </c>
    </row>
    <row r="24" spans="4:41" ht="14.45" x14ac:dyDescent="0.3">
      <c r="E24" s="24">
        <f t="shared" si="62"/>
        <v>0.8</v>
      </c>
      <c r="F24" s="18"/>
      <c r="G24" s="18"/>
      <c r="H24" s="18"/>
      <c r="I24" s="18"/>
      <c r="J24" s="18"/>
      <c r="K24" s="18">
        <v>0</v>
      </c>
      <c r="L24" s="18">
        <v>1.0016912253184702</v>
      </c>
      <c r="M24" s="18">
        <v>1.771748929744537</v>
      </c>
      <c r="N24" s="18">
        <v>2.36802202107426</v>
      </c>
      <c r="O24" s="18">
        <v>2.8271636382867533</v>
      </c>
      <c r="P24" s="18">
        <v>3.1778281778892041</v>
      </c>
      <c r="Q24" s="18">
        <v>3.4473949722273729</v>
      </c>
      <c r="R24" s="18">
        <v>3.6606012464478304</v>
      </c>
      <c r="S24" s="18">
        <v>3.8386887340329023</v>
      </c>
      <c r="T24" s="18">
        <v>4</v>
      </c>
    </row>
    <row r="25" spans="4:41" ht="14.45" x14ac:dyDescent="0.3">
      <c r="E25" s="24">
        <f t="shared" si="62"/>
        <v>0.60000000000000009</v>
      </c>
      <c r="F25" s="18"/>
      <c r="G25" s="18"/>
      <c r="H25" s="18"/>
      <c r="I25" s="18"/>
      <c r="J25" s="18"/>
      <c r="K25" s="18"/>
      <c r="L25" s="18">
        <v>0</v>
      </c>
      <c r="M25" s="18">
        <v>0.79863173742430971</v>
      </c>
      <c r="N25" s="18">
        <v>1.4227780199527027</v>
      </c>
      <c r="O25" s="18">
        <v>1.8961185331575543</v>
      </c>
      <c r="P25" s="18">
        <v>2.2439513417247063</v>
      </c>
      <c r="Q25" s="18">
        <v>2.5006389247383134</v>
      </c>
      <c r="R25" s="18">
        <v>2.6968677152237612</v>
      </c>
      <c r="S25" s="18">
        <v>2.856875578246715</v>
      </c>
      <c r="T25" s="18">
        <v>3</v>
      </c>
    </row>
    <row r="26" spans="4:41" ht="14.45" x14ac:dyDescent="0.3">
      <c r="E26" s="24">
        <f t="shared" si="62"/>
        <v>0.4</v>
      </c>
      <c r="F26" s="18"/>
      <c r="G26" s="18"/>
      <c r="H26" s="18"/>
      <c r="I26" s="18"/>
      <c r="J26" s="18"/>
      <c r="K26" s="18"/>
      <c r="L26" s="18"/>
      <c r="M26" s="18">
        <v>0</v>
      </c>
      <c r="N26" s="18">
        <v>0.62833978815468949</v>
      </c>
      <c r="O26" s="18">
        <v>1.0905811326660559</v>
      </c>
      <c r="P26" s="18">
        <v>1.401219731113756</v>
      </c>
      <c r="Q26" s="18">
        <v>1.6143416697774158</v>
      </c>
      <c r="R26" s="18">
        <v>1.7693551114621864</v>
      </c>
      <c r="S26" s="18">
        <v>1.8919458637301985</v>
      </c>
      <c r="T26" s="18">
        <v>2</v>
      </c>
    </row>
    <row r="27" spans="4:41" ht="14.45" x14ac:dyDescent="0.3">
      <c r="E27" s="24">
        <f t="shared" si="62"/>
        <v>0.2</v>
      </c>
      <c r="F27" s="18"/>
      <c r="G27" s="18"/>
      <c r="H27" s="18"/>
      <c r="I27" s="18"/>
      <c r="J27" s="18"/>
      <c r="K27" s="18"/>
      <c r="L27" s="18"/>
      <c r="M27" s="18"/>
      <c r="N27" s="18">
        <v>0</v>
      </c>
      <c r="O27" s="18">
        <v>0.43664647823822572</v>
      </c>
      <c r="P27" s="18">
        <v>0.65600478028684739</v>
      </c>
      <c r="Q27" s="18">
        <v>0.78615291179540847</v>
      </c>
      <c r="R27" s="18">
        <v>0.87426519711737183</v>
      </c>
      <c r="S27" s="18">
        <v>0.94155276521189246</v>
      </c>
      <c r="T27" s="18">
        <v>1</v>
      </c>
    </row>
    <row r="28" spans="4:41" ht="14.45" x14ac:dyDescent="0.3">
      <c r="E28" s="24">
        <v>0</v>
      </c>
      <c r="F28" s="18"/>
      <c r="G28" s="18"/>
      <c r="H28" s="18"/>
      <c r="I28" s="18"/>
      <c r="J28" s="18"/>
      <c r="K28" s="18"/>
      <c r="L28" s="18"/>
      <c r="M28" s="18"/>
      <c r="N28" s="18"/>
      <c r="O28" s="18">
        <v>0</v>
      </c>
      <c r="P28" s="18">
        <v>0</v>
      </c>
      <c r="Q28" s="18">
        <v>0</v>
      </c>
      <c r="R28" s="18">
        <v>0</v>
      </c>
      <c r="S28" s="18">
        <v>0</v>
      </c>
      <c r="T28" s="18">
        <v>0</v>
      </c>
    </row>
    <row r="29" spans="4:41" ht="14.45" x14ac:dyDescent="0.3">
      <c r="F29" s="24">
        <v>0</v>
      </c>
      <c r="G29" s="24">
        <f>F29+$B$1</f>
        <v>0.2</v>
      </c>
      <c r="H29" s="24">
        <f t="shared" ref="H29" si="67">G29+$B$1</f>
        <v>0.4</v>
      </c>
      <c r="I29" s="24">
        <f t="shared" ref="I29" si="68">H29+$B$1</f>
        <v>0.60000000000000009</v>
      </c>
      <c r="J29" s="24">
        <f t="shared" ref="J29" si="69">I29+$B$1</f>
        <v>0.8</v>
      </c>
      <c r="K29" s="24">
        <f t="shared" ref="K29" si="70">J29+$B$1</f>
        <v>1</v>
      </c>
      <c r="L29" s="24">
        <f t="shared" ref="L29" si="71">K29+$B$1</f>
        <v>1.2</v>
      </c>
      <c r="M29" s="24">
        <f t="shared" ref="M29" si="72">L29+$B$1</f>
        <v>1.4</v>
      </c>
      <c r="N29" s="24">
        <f t="shared" ref="N29" si="73">M29+$B$1</f>
        <v>1.5999999999999999</v>
      </c>
      <c r="O29" s="24">
        <f t="shared" ref="O29" si="74">N29+$B$1</f>
        <v>1.7999999999999998</v>
      </c>
      <c r="P29" s="24">
        <f t="shared" ref="P29" si="75">O29+$B$1</f>
        <v>1.9999999999999998</v>
      </c>
      <c r="Q29" s="24">
        <f t="shared" ref="Q29" si="76">P29+$B$1</f>
        <v>2.1999999999999997</v>
      </c>
      <c r="R29" s="24">
        <f t="shared" ref="R29" si="77">Q29+$B$1</f>
        <v>2.4</v>
      </c>
      <c r="S29" s="24">
        <f t="shared" ref="S29" si="78">R29+$B$1</f>
        <v>2.6</v>
      </c>
      <c r="T29" s="24">
        <f t="shared" ref="T29" si="79">S29+$B$1</f>
        <v>2.8000000000000003</v>
      </c>
    </row>
    <row r="30" spans="4:41" ht="14.45" x14ac:dyDescent="0.3">
      <c r="D30" s="26" t="s">
        <v>11</v>
      </c>
    </row>
    <row r="31" spans="4:41" ht="14.45" x14ac:dyDescent="0.3">
      <c r="E31" s="24">
        <f>E32+$B$1</f>
        <v>1.9999999999999998</v>
      </c>
      <c r="F31" s="27">
        <f>(F4-F5)/$B$1</f>
        <v>10</v>
      </c>
      <c r="G31" s="27">
        <f>(G4-G5)/$B$1</f>
        <v>9.8582767319405562</v>
      </c>
      <c r="H31" s="27">
        <f t="shared" ref="H31:T31" si="80">(H4-H5)/$B$1</f>
        <v>9.675659146623925</v>
      </c>
      <c r="I31" s="27">
        <f t="shared" si="80"/>
        <v>9.4096348577020272</v>
      </c>
      <c r="J31" s="27">
        <f t="shared" si="80"/>
        <v>9.0239139480506481</v>
      </c>
      <c r="K31" s="27">
        <f t="shared" si="80"/>
        <v>8.5155650282000739</v>
      </c>
      <c r="L31" s="27">
        <f t="shared" si="80"/>
        <v>7.9485462295957632</v>
      </c>
      <c r="M31" s="27">
        <f t="shared" si="80"/>
        <v>7.3892542421982021</v>
      </c>
      <c r="N31" s="27">
        <f t="shared" si="80"/>
        <v>6.8790489771887486</v>
      </c>
      <c r="O31" s="27">
        <f t="shared" si="80"/>
        <v>6.4349676836739356</v>
      </c>
      <c r="P31" s="27">
        <f t="shared" si="80"/>
        <v>6.057855553139877</v>
      </c>
      <c r="Q31" s="27">
        <f t="shared" si="80"/>
        <v>5.7394572119467924</v>
      </c>
      <c r="R31" s="27">
        <f t="shared" si="80"/>
        <v>5.4669808788878882</v>
      </c>
      <c r="S31" s="27">
        <f t="shared" si="80"/>
        <v>5.2256558891081895</v>
      </c>
      <c r="T31" s="27">
        <f t="shared" si="80"/>
        <v>5</v>
      </c>
    </row>
    <row r="32" spans="4:41" ht="14.45" x14ac:dyDescent="0.3">
      <c r="E32" s="24">
        <f t="shared" ref="E32:E40" si="81">E33+$B$1</f>
        <v>1.7999999999999998</v>
      </c>
      <c r="F32" s="7">
        <f t="shared" ref="F32:F35" si="82">(F5-F6)/$B$1</f>
        <v>10</v>
      </c>
      <c r="G32" s="9">
        <f t="shared" ref="G32:S32" si="83">(G4-G6)/(2*$B$1)</f>
        <v>9.8787238905691623</v>
      </c>
      <c r="H32" s="9">
        <f t="shared" si="83"/>
        <v>9.7173624984265459</v>
      </c>
      <c r="I32" s="9">
        <f t="shared" si="83"/>
        <v>9.4694831680667679</v>
      </c>
      <c r="J32" s="9">
        <f t="shared" si="83"/>
        <v>9.08522795315025</v>
      </c>
      <c r="K32" s="9">
        <f t="shared" si="83"/>
        <v>8.5448999675769421</v>
      </c>
      <c r="L32" s="9">
        <f t="shared" si="83"/>
        <v>7.9446828239923795</v>
      </c>
      <c r="M32" s="9">
        <f t="shared" si="83"/>
        <v>7.3647108810041351</v>
      </c>
      <c r="N32" s="9">
        <f t="shared" si="83"/>
        <v>6.8459869914414258</v>
      </c>
      <c r="O32" s="9">
        <f t="shared" si="83"/>
        <v>6.4014831021835672</v>
      </c>
      <c r="P32" s="9">
        <f t="shared" si="83"/>
        <v>6.0284986584693767</v>
      </c>
      <c r="Q32" s="9">
        <f t="shared" si="83"/>
        <v>5.7164962078797128</v>
      </c>
      <c r="R32" s="9">
        <f t="shared" si="83"/>
        <v>5.4514052072482766</v>
      </c>
      <c r="S32" s="9">
        <f t="shared" si="83"/>
        <v>5.2178213387724233</v>
      </c>
      <c r="T32" s="7">
        <f t="shared" ref="T32" si="84">(T5-T6)/$B$1</f>
        <v>5</v>
      </c>
    </row>
    <row r="33" spans="1:37" ht="14.45" x14ac:dyDescent="0.3">
      <c r="E33" s="24">
        <f t="shared" si="81"/>
        <v>1.5999999999999999</v>
      </c>
      <c r="F33" s="7">
        <f t="shared" si="82"/>
        <v>10</v>
      </c>
      <c r="G33" s="9">
        <f t="shared" ref="G33:S33" si="85">(G5-G7)/(2*$B$1)</f>
        <v>9.9392563319095437</v>
      </c>
      <c r="H33" s="9">
        <f t="shared" si="85"/>
        <v>9.8455837884463282</v>
      </c>
      <c r="I33" s="9">
        <f t="shared" si="85"/>
        <v>9.6657073629882415</v>
      </c>
      <c r="J33" s="9">
        <f t="shared" si="85"/>
        <v>9.3026147289066365</v>
      </c>
      <c r="K33" s="9">
        <f t="shared" si="85"/>
        <v>8.6341240649650661</v>
      </c>
      <c r="L33" s="9">
        <f t="shared" si="85"/>
        <v>7.920574217792673</v>
      </c>
      <c r="M33" s="9">
        <f t="shared" si="85"/>
        <v>7.2789194663845347</v>
      </c>
      <c r="N33" s="9">
        <f t="shared" si="85"/>
        <v>6.7387050053892494</v>
      </c>
      <c r="O33" s="9">
        <f t="shared" si="85"/>
        <v>6.2964790751495237</v>
      </c>
      <c r="P33" s="9">
        <f t="shared" si="85"/>
        <v>5.9381597706743561</v>
      </c>
      <c r="Q33" s="9">
        <f t="shared" si="85"/>
        <v>5.6466237538544028</v>
      </c>
      <c r="R33" s="9">
        <f t="shared" si="85"/>
        <v>5.404322403453083</v>
      </c>
      <c r="S33" s="9">
        <f t="shared" si="85"/>
        <v>5.1942242587332288</v>
      </c>
      <c r="T33" s="7">
        <f t="shared" ref="T33" si="86">(T6-T7)/$B$1</f>
        <v>5</v>
      </c>
    </row>
    <row r="34" spans="1:37" ht="14.45" x14ac:dyDescent="0.3">
      <c r="E34" s="24">
        <f t="shared" si="81"/>
        <v>1.4</v>
      </c>
      <c r="F34" s="7">
        <f t="shared" si="82"/>
        <v>10</v>
      </c>
      <c r="G34" s="9">
        <f t="shared" ref="G34:S34" si="87">(G6-G8)/(2*$B$1)</f>
        <v>10.032717648622675</v>
      </c>
      <c r="H34" s="9">
        <f t="shared" si="87"/>
        <v>10.060008960460985</v>
      </c>
      <c r="I34" s="9">
        <f t="shared" si="87"/>
        <v>10.045147766533237</v>
      </c>
      <c r="J34" s="9">
        <f t="shared" si="87"/>
        <v>9.8253995345229814</v>
      </c>
      <c r="K34" s="9">
        <f t="shared" si="87"/>
        <v>8.7684073455840146</v>
      </c>
      <c r="L34" s="9">
        <f t="shared" si="87"/>
        <v>7.8245705158287144</v>
      </c>
      <c r="M34" s="9">
        <f t="shared" si="87"/>
        <v>7.0916877613520874</v>
      </c>
      <c r="N34" s="9">
        <f t="shared" si="87"/>
        <v>6.5334344885815021</v>
      </c>
      <c r="O34" s="9">
        <f t="shared" si="87"/>
        <v>6.107568422350913</v>
      </c>
      <c r="P34" s="9">
        <f t="shared" si="87"/>
        <v>5.7810375952241166</v>
      </c>
      <c r="Q34" s="9">
        <f t="shared" si="87"/>
        <v>5.5275166334104453</v>
      </c>
      <c r="R34" s="9">
        <f t="shared" si="87"/>
        <v>5.3250363939764256</v>
      </c>
      <c r="S34" s="9">
        <f t="shared" si="87"/>
        <v>5.1547532927074187</v>
      </c>
      <c r="T34" s="7">
        <f t="shared" ref="T34" si="88">(T7-T8)/$B$1</f>
        <v>5</v>
      </c>
    </row>
    <row r="35" spans="1:37" ht="14.45" x14ac:dyDescent="0.3">
      <c r="E35" s="24">
        <f t="shared" si="81"/>
        <v>1.2</v>
      </c>
      <c r="F35" s="7">
        <f t="shared" si="82"/>
        <v>10</v>
      </c>
      <c r="G35" s="9">
        <f t="shared" ref="G35:S38" si="89">(G7-G9)/(2*$B$1)</f>
        <v>10.131605302120176</v>
      </c>
      <c r="H35" s="9">
        <f t="shared" si="89"/>
        <v>10.316586638241709</v>
      </c>
      <c r="I35" s="9">
        <f t="shared" si="89"/>
        <v>10.629475208160743</v>
      </c>
      <c r="J35" s="9">
        <f t="shared" si="89"/>
        <v>11.185428297068038</v>
      </c>
      <c r="K35" s="9">
        <f t="shared" si="89"/>
        <v>8.7895352670192946</v>
      </c>
      <c r="L35" s="9">
        <f t="shared" si="89"/>
        <v>7.5176127385860809</v>
      </c>
      <c r="M35" s="9">
        <f t="shared" si="89"/>
        <v>6.7298265746135888</v>
      </c>
      <c r="N35" s="9">
        <f t="shared" si="89"/>
        <v>6.1957767652337532</v>
      </c>
      <c r="O35" s="9">
        <f t="shared" si="89"/>
        <v>5.8193225304485106</v>
      </c>
      <c r="P35" s="9">
        <f t="shared" si="89"/>
        <v>5.5509055544607362</v>
      </c>
      <c r="Q35" s="9">
        <f t="shared" si="89"/>
        <v>5.3573687905868361</v>
      </c>
      <c r="R35" s="9">
        <f t="shared" si="89"/>
        <v>5.2135532463347474</v>
      </c>
      <c r="S35" s="9">
        <f t="shared" si="89"/>
        <v>5.0997525181200176</v>
      </c>
      <c r="T35" s="7">
        <f t="shared" ref="T35" si="90">(T8-T9)/$B$1</f>
        <v>5</v>
      </c>
    </row>
    <row r="36" spans="1:37" ht="14.45" x14ac:dyDescent="0.3">
      <c r="A36" s="13"/>
      <c r="E36" s="24">
        <f t="shared" si="81"/>
        <v>1</v>
      </c>
      <c r="F36" s="27">
        <f>(F8-F9)/$B$1</f>
        <v>10</v>
      </c>
      <c r="G36" s="27">
        <f t="shared" ref="G36:J36" si="91">(G8-G9)/$B$1</f>
        <v>10.177116921616323</v>
      </c>
      <c r="H36" s="27">
        <f t="shared" si="91"/>
        <v>10.445257082224932</v>
      </c>
      <c r="I36" s="27">
        <f t="shared" si="91"/>
        <v>10.970738130799988</v>
      </c>
      <c r="J36" s="27">
        <f t="shared" si="91"/>
        <v>12.178745024653535</v>
      </c>
      <c r="K36" s="9">
        <f t="shared" si="89"/>
        <v>7.6866926868390424</v>
      </c>
      <c r="L36" s="9">
        <f>(L8-L10)/(2*$B$1)</f>
        <v>6.7265185968827286</v>
      </c>
      <c r="M36" s="9">
        <f t="shared" si="89"/>
        <v>6.1142290332824327</v>
      </c>
      <c r="N36" s="9">
        <f t="shared" si="89"/>
        <v>5.7005234672914202</v>
      </c>
      <c r="O36" s="9">
        <f t="shared" ref="O36:S36" si="92">(O8-O10)/(2*$B$1)</f>
        <v>5.4230393797486336</v>
      </c>
      <c r="P36" s="9">
        <f t="shared" si="92"/>
        <v>5.2458933015834939</v>
      </c>
      <c r="Q36" s="9">
        <f t="shared" si="92"/>
        <v>5.1374997281414077</v>
      </c>
      <c r="R36" s="9">
        <f t="shared" si="92"/>
        <v>5.0720552826557181</v>
      </c>
      <c r="S36" s="9">
        <f t="shared" si="92"/>
        <v>5.0307035334379009</v>
      </c>
      <c r="T36" s="7">
        <f t="shared" ref="T36" si="93">(T9-T10)/$B$1</f>
        <v>5</v>
      </c>
    </row>
    <row r="37" spans="1:37" ht="14.45" x14ac:dyDescent="0.3">
      <c r="E37" s="24">
        <f t="shared" si="81"/>
        <v>0.8</v>
      </c>
      <c r="F37" s="3"/>
      <c r="G37" s="4"/>
      <c r="H37" s="4"/>
      <c r="I37" s="4"/>
      <c r="J37" s="4"/>
      <c r="K37" s="27">
        <f>(K9-K10)/$B$1</f>
        <v>6.6371163078312012</v>
      </c>
      <c r="L37" s="9">
        <f>(L9-L11)/(2*$B$1)</f>
        <v>5.5875399288233636</v>
      </c>
      <c r="M37" s="9">
        <f t="shared" si="89"/>
        <v>5.3000474943420004</v>
      </c>
      <c r="N37" s="9">
        <f t="shared" si="89"/>
        <v>5.0690486909008632</v>
      </c>
      <c r="O37" s="9">
        <f t="shared" ref="O37:S37" si="94">(O9-O11)/(2*$B$1)</f>
        <v>4.9264182196711115</v>
      </c>
      <c r="P37" s="9">
        <f t="shared" si="94"/>
        <v>4.8721285439832016</v>
      </c>
      <c r="Q37" s="9">
        <f t="shared" si="94"/>
        <v>4.8746815377395798</v>
      </c>
      <c r="R37" s="9">
        <f t="shared" si="94"/>
        <v>4.9064646227088211</v>
      </c>
      <c r="S37" s="9">
        <f t="shared" si="94"/>
        <v>4.9510063329758696</v>
      </c>
      <c r="T37" s="7">
        <f t="shared" ref="T37" si="95">(T10-T11)/$B$1</f>
        <v>5</v>
      </c>
    </row>
    <row r="38" spans="1:37" ht="14.45" x14ac:dyDescent="0.3">
      <c r="E38" s="24">
        <f t="shared" si="81"/>
        <v>0.60000000000000009</v>
      </c>
      <c r="F38" s="3"/>
      <c r="G38" s="4"/>
      <c r="H38" s="4"/>
      <c r="I38" s="4"/>
      <c r="J38" s="4"/>
      <c r="K38" s="4"/>
      <c r="L38" s="27">
        <f>(L10-L11)/$B$1</f>
        <v>5.0084561265923533</v>
      </c>
      <c r="M38" s="9">
        <f t="shared" si="89"/>
        <v>4.429372324361343</v>
      </c>
      <c r="N38" s="9">
        <f t="shared" ref="N38" si="96">(N10-N12)/(2*$B$1)</f>
        <v>4.3492055822989268</v>
      </c>
      <c r="O38" s="9">
        <f t="shared" ref="O38:S38" si="97">(O10-O12)/(2*$B$1)</f>
        <v>4.3414562640517449</v>
      </c>
      <c r="P38" s="9">
        <f t="shared" si="97"/>
        <v>4.4415211169386213</v>
      </c>
      <c r="Q38" s="9">
        <f t="shared" si="97"/>
        <v>4.5826332561248933</v>
      </c>
      <c r="R38" s="9">
        <f t="shared" si="97"/>
        <v>4.7281153374641116</v>
      </c>
      <c r="S38" s="9">
        <f t="shared" si="97"/>
        <v>4.8668571757567598</v>
      </c>
      <c r="T38" s="7">
        <f t="shared" ref="T38" si="98">(T11-T12)/$B$1</f>
        <v>5</v>
      </c>
      <c r="U38" s="28"/>
    </row>
    <row r="39" spans="1:37" ht="14.45" x14ac:dyDescent="0.3">
      <c r="E39" s="24">
        <f t="shared" si="81"/>
        <v>0.4</v>
      </c>
      <c r="F39" s="3"/>
      <c r="G39" s="4"/>
      <c r="H39" s="4"/>
      <c r="I39" s="4"/>
      <c r="J39" s="4"/>
      <c r="K39" s="4"/>
      <c r="L39" s="4"/>
      <c r="M39" s="27">
        <f>(M11-M12)/$B$1</f>
        <v>3.9931586871215496</v>
      </c>
      <c r="N39" s="9">
        <f t="shared" ref="N39" si="99">(N11-N13)/(2*$B$1)</f>
        <v>3.5569450498817581</v>
      </c>
      <c r="O39" s="9">
        <f t="shared" ref="O39:S39" si="100">(O11-O13)/(2*$B$1)</f>
        <v>3.6486801372983217</v>
      </c>
      <c r="P39" s="9">
        <f t="shared" si="100"/>
        <v>3.9698664035946476</v>
      </c>
      <c r="Q39" s="9">
        <f t="shared" si="100"/>
        <v>4.286215032357263</v>
      </c>
      <c r="R39" s="9">
        <f t="shared" si="100"/>
        <v>4.5565062952659732</v>
      </c>
      <c r="S39" s="9">
        <f t="shared" si="100"/>
        <v>4.7883070325870563</v>
      </c>
      <c r="T39" s="7">
        <f t="shared" ref="T39" si="101">(T12-T13)/$B$1</f>
        <v>5</v>
      </c>
    </row>
    <row r="40" spans="1:37" ht="14.45" x14ac:dyDescent="0.3">
      <c r="E40" s="24">
        <f t="shared" si="81"/>
        <v>0.2</v>
      </c>
      <c r="F40" s="3"/>
      <c r="G40" s="4"/>
      <c r="H40" s="4"/>
      <c r="I40" s="4"/>
      <c r="J40" s="4"/>
      <c r="K40" s="4"/>
      <c r="L40" s="4"/>
      <c r="M40" s="4"/>
      <c r="N40" s="27">
        <f>(N12-N13)/$B$1</f>
        <v>3.1416989407734484</v>
      </c>
      <c r="O40" s="9">
        <f t="shared" ref="O40:S40" si="102">(O12-O14)/(2*$B$1)</f>
        <v>2.7264528316651404</v>
      </c>
      <c r="P40" s="9">
        <f t="shared" si="102"/>
        <v>3.503049327784391</v>
      </c>
      <c r="Q40" s="9">
        <f t="shared" si="102"/>
        <v>4.0358541744435401</v>
      </c>
      <c r="R40" s="9">
        <f t="shared" si="102"/>
        <v>4.4233877786554672</v>
      </c>
      <c r="S40" s="9">
        <f t="shared" si="102"/>
        <v>4.7298646593254956</v>
      </c>
      <c r="T40" s="7">
        <f t="shared" ref="T40" si="103">(T13-T14)/$B$1</f>
        <v>5</v>
      </c>
    </row>
    <row r="41" spans="1:37" ht="14.45" x14ac:dyDescent="0.3">
      <c r="E41" s="24">
        <v>0</v>
      </c>
      <c r="O41" s="27">
        <f t="shared" ref="O41:S41" si="104">(O13-O14)/$B$1</f>
        <v>2.1832323911911291</v>
      </c>
      <c r="P41" s="27">
        <f t="shared" si="104"/>
        <v>3.2800239014342378</v>
      </c>
      <c r="Q41" s="27">
        <f t="shared" si="104"/>
        <v>3.9307645589770432</v>
      </c>
      <c r="R41" s="27">
        <f t="shared" si="104"/>
        <v>4.3713259855868589</v>
      </c>
      <c r="S41" s="27">
        <f t="shared" si="104"/>
        <v>4.7077638260594625</v>
      </c>
      <c r="T41" s="27">
        <f>(T13-T14)/$B$1</f>
        <v>5</v>
      </c>
    </row>
    <row r="42" spans="1:37" ht="14.45" x14ac:dyDescent="0.3">
      <c r="F42" s="24">
        <v>0</v>
      </c>
      <c r="G42" s="24">
        <f>F42+$B$1</f>
        <v>0.2</v>
      </c>
      <c r="H42" s="24">
        <f t="shared" ref="H42" si="105">G42+$B$1</f>
        <v>0.4</v>
      </c>
      <c r="I42" s="24">
        <f t="shared" ref="I42" si="106">H42+$B$1</f>
        <v>0.60000000000000009</v>
      </c>
      <c r="J42" s="24">
        <f t="shared" ref="J42" si="107">I42+$B$1</f>
        <v>0.8</v>
      </c>
      <c r="K42" s="24">
        <f t="shared" ref="K42" si="108">J42+$B$1</f>
        <v>1</v>
      </c>
      <c r="L42" s="24">
        <f t="shared" ref="L42" si="109">K42+$B$1</f>
        <v>1.2</v>
      </c>
      <c r="M42" s="24">
        <f t="shared" ref="M42" si="110">L42+$B$1</f>
        <v>1.4</v>
      </c>
      <c r="N42" s="24">
        <f t="shared" ref="N42" si="111">M42+$B$1</f>
        <v>1.5999999999999999</v>
      </c>
      <c r="O42" s="24">
        <f t="shared" ref="O42" si="112">N42+$B$1</f>
        <v>1.7999999999999998</v>
      </c>
      <c r="P42" s="24">
        <f t="shared" ref="P42" si="113">O42+$B$1</f>
        <v>1.9999999999999998</v>
      </c>
      <c r="Q42" s="24">
        <f t="shared" ref="Q42" si="114">P42+$B$1</f>
        <v>2.1999999999999997</v>
      </c>
      <c r="R42" s="24">
        <f t="shared" ref="R42" si="115">Q42+$B$1</f>
        <v>2.4</v>
      </c>
      <c r="S42" s="24">
        <f t="shared" ref="S42" si="116">R42+$B$1</f>
        <v>2.6</v>
      </c>
      <c r="T42" s="24">
        <f t="shared" ref="T42" si="117">S42+$B$1</f>
        <v>2.8000000000000003</v>
      </c>
    </row>
    <row r="43" spans="1:37" ht="14.45" x14ac:dyDescent="0.3">
      <c r="D43" s="26" t="s">
        <v>12</v>
      </c>
    </row>
    <row r="44" spans="1:37" ht="14.45" x14ac:dyDescent="0.3">
      <c r="E44" s="24">
        <f>E45+$B$1</f>
        <v>1.9999999999999998</v>
      </c>
      <c r="F44" s="27">
        <f>-(G4-F4)/$B$1</f>
        <v>0</v>
      </c>
      <c r="G44" s="27">
        <f t="shared" ref="G44:S44" si="118">(H4-G4)/$B$1</f>
        <v>0</v>
      </c>
      <c r="H44" s="27">
        <f t="shared" si="118"/>
        <v>0</v>
      </c>
      <c r="I44" s="27">
        <f t="shared" si="118"/>
        <v>0</v>
      </c>
      <c r="J44" s="27">
        <f t="shared" si="118"/>
        <v>0</v>
      </c>
      <c r="K44" s="27">
        <f t="shared" si="118"/>
        <v>0</v>
      </c>
      <c r="L44" s="27">
        <f t="shared" si="118"/>
        <v>0</v>
      </c>
      <c r="M44" s="27">
        <f t="shared" si="118"/>
        <v>0</v>
      </c>
      <c r="N44" s="27">
        <f t="shared" si="118"/>
        <v>0</v>
      </c>
      <c r="O44" s="27">
        <f t="shared" si="118"/>
        <v>0</v>
      </c>
      <c r="P44" s="27">
        <f t="shared" si="118"/>
        <v>0</v>
      </c>
      <c r="Q44" s="27">
        <f t="shared" si="118"/>
        <v>0</v>
      </c>
      <c r="R44" s="27">
        <f t="shared" si="118"/>
        <v>0</v>
      </c>
      <c r="S44" s="27">
        <f t="shared" si="118"/>
        <v>0</v>
      </c>
      <c r="T44" s="27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ht="14.45" x14ac:dyDescent="0.3">
      <c r="E45" s="24">
        <f t="shared" ref="E45:E53" si="119">E46+$B$1</f>
        <v>1.7999999999999998</v>
      </c>
      <c r="F45" s="8">
        <f t="shared" ref="F45:N50" si="120">-(G5-F5)/$B$1</f>
        <v>-0.1417232680594438</v>
      </c>
      <c r="G45" s="9">
        <f>-(H5-G5)/$B$1</f>
        <v>-0.18261758531663119</v>
      </c>
      <c r="H45" s="9">
        <f t="shared" ref="H45:S45" si="121">-(I5-H5)/$B$1</f>
        <v>-0.26602428892189778</v>
      </c>
      <c r="I45" s="9">
        <f t="shared" si="121"/>
        <v>-0.38572090965137917</v>
      </c>
      <c r="J45" s="9">
        <f t="shared" si="121"/>
        <v>-0.50834891985057418</v>
      </c>
      <c r="K45" s="9">
        <f t="shared" si="121"/>
        <v>-0.5670187986043107</v>
      </c>
      <c r="L45" s="9">
        <f t="shared" si="121"/>
        <v>-0.55929198739756103</v>
      </c>
      <c r="M45" s="9">
        <f t="shared" si="121"/>
        <v>-0.51020526500945351</v>
      </c>
      <c r="N45" s="9">
        <f t="shared" si="121"/>
        <v>-0.44408129351481307</v>
      </c>
      <c r="O45" s="9">
        <f t="shared" si="121"/>
        <v>-0.37711213053405856</v>
      </c>
      <c r="P45" s="9">
        <f t="shared" si="121"/>
        <v>-0.31839834119308463</v>
      </c>
      <c r="Q45" s="9">
        <f t="shared" si="121"/>
        <v>-0.27247633305890417</v>
      </c>
      <c r="R45" s="9">
        <f t="shared" si="121"/>
        <v>-0.24132498977969874</v>
      </c>
      <c r="S45" s="9">
        <f t="shared" si="121"/>
        <v>-0.22565588910818946</v>
      </c>
      <c r="T45" s="8">
        <f t="shared" ref="T45:T54" si="122">-(T5-S5)/$B$1</f>
        <v>-0.22565588910818946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E46" s="24">
        <f t="shared" si="119"/>
        <v>1.5999999999999999</v>
      </c>
      <c r="F46" s="8">
        <f t="shared" si="120"/>
        <v>-0.24255221886167355</v>
      </c>
      <c r="G46" s="9">
        <f t="shared" si="120"/>
        <v>-0.32272278428523204</v>
      </c>
      <c r="H46" s="9">
        <f t="shared" ref="H46:S46" si="123">-(I6-H6)/$B$1</f>
        <v>-0.49575866071955854</v>
      </c>
      <c r="I46" s="9">
        <f t="shared" si="123"/>
        <v>-0.76851042983303586</v>
      </c>
      <c r="J46" s="9">
        <f t="shared" si="123"/>
        <v>-1.0806559711466157</v>
      </c>
      <c r="K46" s="9">
        <f t="shared" si="123"/>
        <v>-1.2004342871691254</v>
      </c>
      <c r="L46" s="9">
        <f t="shared" si="123"/>
        <v>-1.1599438859764888</v>
      </c>
      <c r="M46" s="9">
        <f t="shared" si="123"/>
        <v>-1.0374477791254177</v>
      </c>
      <c r="N46" s="9">
        <f t="shared" si="123"/>
        <v>-0.88900777851571799</v>
      </c>
      <c r="O46" s="9">
        <f t="shared" si="123"/>
        <v>-0.74596888742838097</v>
      </c>
      <c r="P46" s="9">
        <f t="shared" si="123"/>
        <v>-0.62400490117932694</v>
      </c>
      <c r="Q46" s="9">
        <f t="shared" si="123"/>
        <v>-0.53018200126287329</v>
      </c>
      <c r="R46" s="9">
        <f t="shared" si="123"/>
        <v>-0.46716773695170577</v>
      </c>
      <c r="S46" s="9">
        <f t="shared" si="123"/>
        <v>-0.43564267754484742</v>
      </c>
      <c r="T46" s="8">
        <f t="shared" si="122"/>
        <v>-0.43564267754484742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E47" s="24">
        <f t="shared" si="119"/>
        <v>1.4</v>
      </c>
      <c r="F47" s="8">
        <f t="shared" si="120"/>
        <v>-0.2632106042403537</v>
      </c>
      <c r="G47" s="9">
        <f t="shared" si="120"/>
        <v>-0.36996267224306489</v>
      </c>
      <c r="H47" s="9">
        <f t="shared" ref="H47:S47" si="124">-(I7-H7)/$B$1</f>
        <v>-0.62577713983806849</v>
      </c>
      <c r="I47" s="9">
        <f t="shared" si="124"/>
        <v>-1.11190617781459</v>
      </c>
      <c r="J47" s="9">
        <f t="shared" si="124"/>
        <v>-1.8453302477337141</v>
      </c>
      <c r="K47" s="9">
        <f t="shared" si="124"/>
        <v>-1.9941184929490996</v>
      </c>
      <c r="L47" s="9">
        <f t="shared" si="124"/>
        <v>-1.8426014902138377</v>
      </c>
      <c r="M47" s="9">
        <f t="shared" si="124"/>
        <v>-1.590634187000024</v>
      </c>
      <c r="N47" s="9">
        <f t="shared" si="124"/>
        <v>-1.3285331539942646</v>
      </c>
      <c r="O47" s="9">
        <f t="shared" si="124"/>
        <v>-1.0937507394843937</v>
      </c>
      <c r="P47" s="9">
        <f t="shared" si="124"/>
        <v>-0.90147037483299108</v>
      </c>
      <c r="Q47" s="9">
        <f t="shared" si="124"/>
        <v>-0.75707903386154296</v>
      </c>
      <c r="R47" s="9">
        <f t="shared" si="124"/>
        <v>-0.66152127921940806</v>
      </c>
      <c r="S47" s="9">
        <f t="shared" si="124"/>
        <v>-0.61410440657464704</v>
      </c>
      <c r="T47" s="8">
        <f t="shared" si="122"/>
        <v>-0.61410440657464704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E48" s="24">
        <f t="shared" si="119"/>
        <v>1.2</v>
      </c>
      <c r="F48" s="8">
        <f t="shared" si="120"/>
        <v>-0.17711692161632264</v>
      </c>
      <c r="G48" s="9">
        <f t="shared" si="120"/>
        <v>-0.26814016060860979</v>
      </c>
      <c r="H48" s="9">
        <f t="shared" ref="H48:S48" si="125">-(I8-H8)/$B$1</f>
        <v>-0.52548104857505606</v>
      </c>
      <c r="I48" s="9">
        <f t="shared" si="125"/>
        <v>-1.2080068938535482</v>
      </c>
      <c r="J48" s="9">
        <f t="shared" si="125"/>
        <v>-3.194640349024549</v>
      </c>
      <c r="K48" s="9">
        <f t="shared" si="125"/>
        <v>-3.0881079466797257</v>
      </c>
      <c r="L48" s="9">
        <f t="shared" si="125"/>
        <v>-2.6257093949297428</v>
      </c>
      <c r="M48" s="9">
        <f t="shared" si="125"/>
        <v>-2.1539543246665893</v>
      </c>
      <c r="N48" s="9">
        <f t="shared" si="125"/>
        <v>-1.7407399109768962</v>
      </c>
      <c r="O48" s="9">
        <f t="shared" si="125"/>
        <v>-1.3990305416819737</v>
      </c>
      <c r="P48" s="9">
        <f t="shared" si="125"/>
        <v>-1.1310468248066696</v>
      </c>
      <c r="Q48" s="9">
        <f t="shared" si="125"/>
        <v>-0.93514248013091272</v>
      </c>
      <c r="R48" s="9">
        <f t="shared" si="125"/>
        <v>-0.80773393948971872</v>
      </c>
      <c r="S48" s="9">
        <f t="shared" si="125"/>
        <v>-0.74514926295968564</v>
      </c>
      <c r="T48" s="8">
        <f t="shared" si="122"/>
        <v>-0.74514926295968564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25">
      <c r="E49" s="24">
        <f t="shared" si="119"/>
        <v>1</v>
      </c>
      <c r="F49" s="27">
        <f t="shared" si="120"/>
        <v>0</v>
      </c>
      <c r="G49" s="27">
        <f t="shared" si="120"/>
        <v>0</v>
      </c>
      <c r="H49" s="27">
        <f t="shared" si="120"/>
        <v>0</v>
      </c>
      <c r="I49" s="27">
        <f t="shared" si="120"/>
        <v>0</v>
      </c>
      <c r="J49" s="27">
        <f t="shared" si="120"/>
        <v>-6.6371163078312012</v>
      </c>
      <c r="K49" s="9">
        <f t="shared" si="120"/>
        <v>-4.5379635498155269</v>
      </c>
      <c r="L49" s="9">
        <f t="shared" si="120"/>
        <v>-3.4181738181588228</v>
      </c>
      <c r="M49" s="9">
        <f t="shared" si="120"/>
        <v>-2.6587338057596943</v>
      </c>
      <c r="N49" s="9">
        <f t="shared" si="120"/>
        <v>-2.0814416235647504</v>
      </c>
      <c r="O49" s="9">
        <f t="shared" ref="O49:S49" si="126">-(P9-O9)/$B$1</f>
        <v>-1.630584691459942</v>
      </c>
      <c r="P49" s="9">
        <f t="shared" si="126"/>
        <v>-1.2885439025807921</v>
      </c>
      <c r="Q49" s="9">
        <f t="shared" si="126"/>
        <v>-1.0447101223657196</v>
      </c>
      <c r="R49" s="9">
        <f t="shared" si="126"/>
        <v>-0.88912273564886846</v>
      </c>
      <c r="S49" s="9">
        <f t="shared" si="126"/>
        <v>-0.81360944281468228</v>
      </c>
      <c r="T49" s="8">
        <f t="shared" si="122"/>
        <v>-0.81360944281468228</v>
      </c>
    </row>
    <row r="50" spans="4:20" x14ac:dyDescent="0.25">
      <c r="E50" s="24">
        <f t="shared" si="119"/>
        <v>0.8</v>
      </c>
      <c r="F50" s="3"/>
      <c r="G50" s="4"/>
      <c r="H50" s="4"/>
      <c r="I50" s="4"/>
      <c r="J50" s="4"/>
      <c r="K50" s="27">
        <f t="shared" si="120"/>
        <v>-5.0084561265923533</v>
      </c>
      <c r="L50" s="9">
        <f t="shared" ref="L50:N50" si="127">-(M10-L10)/$B$1</f>
        <v>-3.850288522130334</v>
      </c>
      <c r="M50" s="9">
        <f t="shared" si="127"/>
        <v>-2.9813654566486147</v>
      </c>
      <c r="N50" s="9">
        <f t="shared" si="127"/>
        <v>-2.295708086062469</v>
      </c>
      <c r="O50" s="9">
        <f t="shared" ref="O50:S50" si="128">-(P10-O10)/$B$1</f>
        <v>-1.753322698012254</v>
      </c>
      <c r="P50" s="9">
        <f t="shared" si="128"/>
        <v>-1.3478339716908416</v>
      </c>
      <c r="Q50" s="9">
        <f t="shared" si="128"/>
        <v>-1.0660313711022917</v>
      </c>
      <c r="R50" s="9">
        <f t="shared" si="128"/>
        <v>-0.89043743792535324</v>
      </c>
      <c r="S50" s="9">
        <f t="shared" si="128"/>
        <v>-0.80655632983548831</v>
      </c>
      <c r="T50" s="8">
        <f t="shared" si="122"/>
        <v>-0.80655632983548831</v>
      </c>
    </row>
    <row r="51" spans="4:20" x14ac:dyDescent="0.25">
      <c r="E51" s="24">
        <f t="shared" si="119"/>
        <v>0.60000000000000009</v>
      </c>
      <c r="F51" s="3"/>
      <c r="G51" s="4"/>
      <c r="H51" s="4"/>
      <c r="I51" s="4"/>
      <c r="J51" s="4"/>
      <c r="K51" s="4"/>
      <c r="L51" s="27">
        <f t="shared" ref="L51:N51" si="129">-(M11-L11)/$B$1</f>
        <v>-3.9931586871215496</v>
      </c>
      <c r="M51" s="9">
        <f t="shared" si="129"/>
        <v>-3.120731412641967</v>
      </c>
      <c r="N51" s="9">
        <f t="shared" si="129"/>
        <v>-2.3667025660242555</v>
      </c>
      <c r="O51" s="9">
        <f t="shared" ref="O51:S51" si="130">-(P11-O11)/$B$1</f>
        <v>-1.7391640428357613</v>
      </c>
      <c r="P51" s="9">
        <f t="shared" si="130"/>
        <v>-1.2834379150680353</v>
      </c>
      <c r="Q51" s="9">
        <f t="shared" si="130"/>
        <v>-0.98114395242723695</v>
      </c>
      <c r="R51" s="9">
        <f t="shared" si="130"/>
        <v>-0.80003931511477111</v>
      </c>
      <c r="S51" s="9">
        <f t="shared" si="130"/>
        <v>-0.71562210876642274</v>
      </c>
      <c r="T51" s="8">
        <f t="shared" si="122"/>
        <v>-0.71562210876642274</v>
      </c>
    </row>
    <row r="52" spans="4:20" x14ac:dyDescent="0.25">
      <c r="E52" s="24">
        <f t="shared" si="119"/>
        <v>0.4</v>
      </c>
      <c r="F52" s="3"/>
      <c r="G52" s="4"/>
      <c r="H52" s="4"/>
      <c r="I52" s="4"/>
      <c r="J52" s="4"/>
      <c r="K52" s="4"/>
      <c r="L52" s="4"/>
      <c r="M52" s="27">
        <f t="shared" ref="M52:N52" si="131">-(N12-M12)/$B$1</f>
        <v>-3.1416989407734484</v>
      </c>
      <c r="N52" s="9">
        <f t="shared" si="131"/>
        <v>-2.311206722556832</v>
      </c>
      <c r="O52" s="9">
        <f t="shared" ref="O52:S52" si="132">-(P12-O12)/$B$1</f>
        <v>-1.5531929922385013</v>
      </c>
      <c r="P52" s="9">
        <f t="shared" si="132"/>
        <v>-1.0656096933182979</v>
      </c>
      <c r="Q52" s="9">
        <f t="shared" si="132"/>
        <v>-0.77506720842385413</v>
      </c>
      <c r="R52" s="9">
        <f t="shared" si="132"/>
        <v>-0.61295376134005819</v>
      </c>
      <c r="S52" s="9">
        <f t="shared" si="132"/>
        <v>-0.54027068134900769</v>
      </c>
      <c r="T52" s="8">
        <f t="shared" si="122"/>
        <v>-0.54027068134900769</v>
      </c>
    </row>
    <row r="53" spans="4:20" x14ac:dyDescent="0.25">
      <c r="E53" s="24">
        <f t="shared" si="119"/>
        <v>0.2</v>
      </c>
      <c r="F53" s="3"/>
      <c r="G53" s="4"/>
      <c r="H53" s="4"/>
      <c r="I53" s="4"/>
      <c r="J53" s="4"/>
      <c r="K53" s="4"/>
      <c r="L53" s="4"/>
      <c r="M53" s="4"/>
      <c r="N53" s="27">
        <f t="shared" ref="N53" si="133">-(O13-N13)/$B$1</f>
        <v>-2.1832323911911291</v>
      </c>
      <c r="O53" s="9">
        <f t="shared" ref="O53:S53" si="134">-(P13-O13)/$B$1</f>
        <v>-1.0967915102431087</v>
      </c>
      <c r="P53" s="9">
        <f t="shared" si="134"/>
        <v>-0.65074065754280541</v>
      </c>
      <c r="Q53" s="9">
        <f t="shared" si="134"/>
        <v>-0.44056142660981568</v>
      </c>
      <c r="R53" s="9">
        <f t="shared" si="134"/>
        <v>-0.33643784047260372</v>
      </c>
      <c r="S53" s="9">
        <f t="shared" si="134"/>
        <v>-0.29223617394053714</v>
      </c>
      <c r="T53" s="8">
        <f t="shared" si="122"/>
        <v>-0.29223617394053714</v>
      </c>
    </row>
    <row r="54" spans="4:20" x14ac:dyDescent="0.25">
      <c r="E54" s="24">
        <v>0</v>
      </c>
      <c r="K54" s="2"/>
      <c r="L54" s="2"/>
      <c r="M54" s="2"/>
      <c r="N54" s="2"/>
      <c r="O54" s="27">
        <f t="shared" ref="O54:S54" si="135">(P14-O14)/$B$1</f>
        <v>0</v>
      </c>
      <c r="P54" s="27">
        <f t="shared" si="135"/>
        <v>0</v>
      </c>
      <c r="Q54" s="27">
        <f t="shared" si="135"/>
        <v>0</v>
      </c>
      <c r="R54" s="27">
        <f t="shared" si="135"/>
        <v>0</v>
      </c>
      <c r="S54" s="27">
        <f t="shared" si="135"/>
        <v>0</v>
      </c>
      <c r="T54" s="27">
        <f t="shared" si="122"/>
        <v>0</v>
      </c>
    </row>
    <row r="55" spans="4:20" x14ac:dyDescent="0.25">
      <c r="F55" s="24">
        <v>0</v>
      </c>
      <c r="G55" s="24">
        <f>F55+$B$1</f>
        <v>0.2</v>
      </c>
      <c r="H55" s="24">
        <f t="shared" ref="H55" si="136">G55+$B$1</f>
        <v>0.4</v>
      </c>
      <c r="I55" s="24">
        <f t="shared" ref="I55" si="137">H55+$B$1</f>
        <v>0.60000000000000009</v>
      </c>
      <c r="J55" s="24">
        <f t="shared" ref="J55" si="138">I55+$B$1</f>
        <v>0.8</v>
      </c>
      <c r="K55" s="24">
        <f t="shared" ref="K55" si="139">J55+$B$1</f>
        <v>1</v>
      </c>
      <c r="L55" s="24">
        <f t="shared" ref="L55" si="140">K55+$B$1</f>
        <v>1.2</v>
      </c>
      <c r="M55" s="24">
        <f t="shared" ref="M55" si="141">L55+$B$1</f>
        <v>1.4</v>
      </c>
      <c r="N55" s="24">
        <f t="shared" ref="N55" si="142">M55+$B$1</f>
        <v>1.5999999999999999</v>
      </c>
      <c r="O55" s="24">
        <f t="shared" ref="O55" si="143">N55+$B$1</f>
        <v>1.7999999999999998</v>
      </c>
      <c r="P55" s="24">
        <f t="shared" ref="P55" si="144">O55+$B$1</f>
        <v>1.9999999999999998</v>
      </c>
      <c r="Q55" s="24">
        <f t="shared" ref="Q55" si="145">P55+$B$1</f>
        <v>2.1999999999999997</v>
      </c>
      <c r="R55" s="24">
        <f t="shared" ref="R55" si="146">Q55+$B$1</f>
        <v>2.4</v>
      </c>
      <c r="S55" s="24">
        <f t="shared" ref="S55" si="147">R55+$B$1</f>
        <v>2.6</v>
      </c>
      <c r="T55" s="24">
        <f t="shared" ref="T55" si="148">S55+$B$1</f>
        <v>2.8000000000000003</v>
      </c>
    </row>
    <row r="56" spans="4:20" x14ac:dyDescent="0.25">
      <c r="D56" s="26" t="s">
        <v>18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4:20" x14ac:dyDescent="0.25">
      <c r="E57" s="24">
        <f>E58+$B$1</f>
        <v>1.9999999999999998</v>
      </c>
      <c r="F57" s="27">
        <f>(F44^2+F31^2)^0.5</f>
        <v>10</v>
      </c>
      <c r="G57" s="27">
        <f t="shared" ref="G57:T57" si="149">(G44^2+G31^2)^0.5</f>
        <v>9.8582767319405562</v>
      </c>
      <c r="H57" s="27">
        <f t="shared" si="149"/>
        <v>9.675659146623925</v>
      </c>
      <c r="I57" s="27">
        <f t="shared" si="149"/>
        <v>9.4096348577020272</v>
      </c>
      <c r="J57" s="27">
        <f t="shared" si="149"/>
        <v>9.0239139480506481</v>
      </c>
      <c r="K57" s="27">
        <f t="shared" si="149"/>
        <v>8.5155650282000739</v>
      </c>
      <c r="L57" s="27">
        <f t="shared" si="149"/>
        <v>7.9485462295957632</v>
      </c>
      <c r="M57" s="27">
        <f t="shared" si="149"/>
        <v>7.3892542421982021</v>
      </c>
      <c r="N57" s="27">
        <f t="shared" si="149"/>
        <v>6.8790489771887486</v>
      </c>
      <c r="O57" s="27">
        <f t="shared" si="149"/>
        <v>6.4349676836739356</v>
      </c>
      <c r="P57" s="27">
        <f t="shared" si="149"/>
        <v>6.057855553139877</v>
      </c>
      <c r="Q57" s="27">
        <f t="shared" si="149"/>
        <v>5.7394572119467924</v>
      </c>
      <c r="R57" s="27">
        <f t="shared" si="149"/>
        <v>5.4669808788878882</v>
      </c>
      <c r="S57" s="27">
        <f t="shared" si="149"/>
        <v>5.2256558891081895</v>
      </c>
      <c r="T57" s="27">
        <f t="shared" si="149"/>
        <v>5</v>
      </c>
    </row>
    <row r="58" spans="4:20" x14ac:dyDescent="0.25">
      <c r="E58" s="24">
        <f t="shared" ref="E58:E66" si="150">E59+$B$1</f>
        <v>1.7999999999999998</v>
      </c>
      <c r="F58" s="12">
        <f t="shared" ref="F58:T63" si="151">(F45^2+F32^2)^0.5</f>
        <v>10.001004223812199</v>
      </c>
      <c r="G58" s="9">
        <f t="shared" si="151"/>
        <v>9.8804116760673892</v>
      </c>
      <c r="H58" s="9">
        <f t="shared" si="151"/>
        <v>9.7210031811600075</v>
      </c>
      <c r="I58" s="9">
        <f t="shared" si="151"/>
        <v>9.4773357063281303</v>
      </c>
      <c r="J58" s="9">
        <f t="shared" si="151"/>
        <v>9.0994387510997576</v>
      </c>
      <c r="K58" s="9">
        <f t="shared" si="151"/>
        <v>8.563692297944101</v>
      </c>
      <c r="L58" s="9">
        <f t="shared" si="151"/>
        <v>7.9643450892717249</v>
      </c>
      <c r="M58" s="9">
        <f t="shared" si="151"/>
        <v>7.3823624791271305</v>
      </c>
      <c r="N58" s="9">
        <f t="shared" si="151"/>
        <v>6.8603750686267162</v>
      </c>
      <c r="O58" s="9">
        <f t="shared" si="151"/>
        <v>6.4125813419041853</v>
      </c>
      <c r="P58" s="9">
        <f t="shared" si="151"/>
        <v>6.0369009913068457</v>
      </c>
      <c r="Q58" s="9">
        <f t="shared" si="151"/>
        <v>5.7229863049618039</v>
      </c>
      <c r="R58" s="9">
        <f t="shared" si="151"/>
        <v>5.4567441285354219</v>
      </c>
      <c r="S58" s="9">
        <f t="shared" si="151"/>
        <v>5.2226985461194344</v>
      </c>
      <c r="T58" s="12">
        <f t="shared" si="151"/>
        <v>5.0050894677607118</v>
      </c>
    </row>
    <row r="59" spans="4:20" x14ac:dyDescent="0.25">
      <c r="E59" s="24">
        <f t="shared" si="150"/>
        <v>1.5999999999999999</v>
      </c>
      <c r="F59" s="12">
        <f t="shared" si="151"/>
        <v>10.00294114642662</v>
      </c>
      <c r="G59" s="9">
        <f t="shared" si="151"/>
        <v>9.9444942770812013</v>
      </c>
      <c r="H59" s="9">
        <f t="shared" si="151"/>
        <v>9.8580574549449445</v>
      </c>
      <c r="I59" s="9">
        <f t="shared" si="151"/>
        <v>9.6962109665418925</v>
      </c>
      <c r="J59" s="9">
        <f t="shared" si="151"/>
        <v>9.3651726157314119</v>
      </c>
      <c r="K59" s="9">
        <f t="shared" si="151"/>
        <v>8.7171750496947187</v>
      </c>
      <c r="L59" s="9">
        <f t="shared" si="151"/>
        <v>8.0050587604449372</v>
      </c>
      <c r="M59" s="9">
        <f t="shared" si="151"/>
        <v>7.3524802952829456</v>
      </c>
      <c r="N59" s="9">
        <f t="shared" si="151"/>
        <v>6.7970934950109063</v>
      </c>
      <c r="O59" s="9">
        <f t="shared" si="151"/>
        <v>6.3405140426314759</v>
      </c>
      <c r="P59" s="9">
        <f t="shared" si="151"/>
        <v>5.9708561847318968</v>
      </c>
      <c r="Q59" s="9">
        <f t="shared" si="151"/>
        <v>5.671459492234419</v>
      </c>
      <c r="R59" s="9">
        <f t="shared" si="151"/>
        <v>5.4244765954802947</v>
      </c>
      <c r="S59" s="9">
        <f t="shared" si="151"/>
        <v>5.2124610494958334</v>
      </c>
      <c r="T59" s="12">
        <f t="shared" si="151"/>
        <v>5.0189425721458942</v>
      </c>
    </row>
    <row r="60" spans="4:20" x14ac:dyDescent="0.25">
      <c r="E60" s="24">
        <f t="shared" si="150"/>
        <v>1.4</v>
      </c>
      <c r="F60" s="12">
        <f t="shared" si="151"/>
        <v>10.003463391355245</v>
      </c>
      <c r="G60" s="9">
        <f t="shared" si="151"/>
        <v>10.03953663252633</v>
      </c>
      <c r="H60" s="9">
        <f t="shared" si="151"/>
        <v>10.079453224917472</v>
      </c>
      <c r="I60" s="9">
        <f t="shared" si="151"/>
        <v>10.106499344468881</v>
      </c>
      <c r="J60" s="9">
        <f t="shared" si="151"/>
        <v>9.9971855907653033</v>
      </c>
      <c r="K60" s="9">
        <f t="shared" si="151"/>
        <v>8.9923009259039635</v>
      </c>
      <c r="L60" s="9">
        <f t="shared" si="151"/>
        <v>8.0385996298431408</v>
      </c>
      <c r="M60" s="9">
        <f t="shared" si="151"/>
        <v>7.2678850033117754</v>
      </c>
      <c r="N60" s="9">
        <f t="shared" si="151"/>
        <v>6.6671408083111743</v>
      </c>
      <c r="O60" s="9">
        <f t="shared" si="151"/>
        <v>6.2047306721420776</v>
      </c>
      <c r="P60" s="9">
        <f t="shared" si="151"/>
        <v>5.8509011711099834</v>
      </c>
      <c r="Q60" s="9">
        <f t="shared" si="151"/>
        <v>5.5791225830001148</v>
      </c>
      <c r="R60" s="9">
        <f t="shared" si="151"/>
        <v>5.3659689712141958</v>
      </c>
      <c r="S60" s="9">
        <f t="shared" si="151"/>
        <v>5.1912046512204055</v>
      </c>
      <c r="T60" s="12">
        <f t="shared" si="151"/>
        <v>5.0375712622427882</v>
      </c>
    </row>
    <row r="61" spans="4:20" x14ac:dyDescent="0.25">
      <c r="E61" s="24">
        <f t="shared" si="150"/>
        <v>1.2</v>
      </c>
      <c r="F61" s="12">
        <f t="shared" si="151"/>
        <v>10.001568397202652</v>
      </c>
      <c r="G61" s="9">
        <f t="shared" si="151"/>
        <v>10.135152941306849</v>
      </c>
      <c r="H61" s="9">
        <f t="shared" si="151"/>
        <v>10.329960803253753</v>
      </c>
      <c r="I61" s="9">
        <f t="shared" si="151"/>
        <v>10.697898104604548</v>
      </c>
      <c r="J61" s="9">
        <f t="shared" si="151"/>
        <v>11.632692429032328</v>
      </c>
      <c r="K61" s="9">
        <f t="shared" si="151"/>
        <v>9.3162407064503441</v>
      </c>
      <c r="L61" s="9">
        <f t="shared" si="151"/>
        <v>7.9629674816599643</v>
      </c>
      <c r="M61" s="9">
        <f t="shared" si="151"/>
        <v>7.0661223423547641</v>
      </c>
      <c r="N61" s="9">
        <f t="shared" si="151"/>
        <v>6.4356681985849988</v>
      </c>
      <c r="O61" s="9">
        <f t="shared" si="151"/>
        <v>5.9851316752386161</v>
      </c>
      <c r="P61" s="9">
        <f t="shared" si="151"/>
        <v>5.664964200632542</v>
      </c>
      <c r="Q61" s="9">
        <f t="shared" si="151"/>
        <v>5.4383721660529316</v>
      </c>
      <c r="R61" s="9">
        <f t="shared" si="151"/>
        <v>5.2757531755542892</v>
      </c>
      <c r="S61" s="9">
        <f t="shared" si="151"/>
        <v>5.1539036826623779</v>
      </c>
      <c r="T61" s="12">
        <f t="shared" si="151"/>
        <v>5.0552198195616933</v>
      </c>
    </row>
    <row r="62" spans="4:20" x14ac:dyDescent="0.25">
      <c r="E62" s="24">
        <f t="shared" si="150"/>
        <v>1</v>
      </c>
      <c r="F62" s="27">
        <f t="shared" si="151"/>
        <v>10</v>
      </c>
      <c r="G62" s="27">
        <f t="shared" si="151"/>
        <v>10.177116921616323</v>
      </c>
      <c r="H62" s="27">
        <f t="shared" si="151"/>
        <v>10.445257082224932</v>
      </c>
      <c r="I62" s="27">
        <f t="shared" si="151"/>
        <v>10.970738130799988</v>
      </c>
      <c r="J62" s="27">
        <f t="shared" si="151"/>
        <v>13.869864572489599</v>
      </c>
      <c r="K62" s="9">
        <f t="shared" si="151"/>
        <v>8.926273446481412</v>
      </c>
      <c r="L62" s="9">
        <f t="shared" si="151"/>
        <v>7.5451948076478219</v>
      </c>
      <c r="M62" s="9">
        <f t="shared" si="151"/>
        <v>6.6672829639459028</v>
      </c>
      <c r="N62" s="9">
        <f t="shared" si="151"/>
        <v>6.068637988333796</v>
      </c>
      <c r="O62" s="9">
        <f t="shared" si="151"/>
        <v>5.6628758197869704</v>
      </c>
      <c r="P62" s="9">
        <f t="shared" si="151"/>
        <v>5.4018276463134871</v>
      </c>
      <c r="Q62" s="9">
        <f t="shared" si="151"/>
        <v>5.242644628088617</v>
      </c>
      <c r="R62" s="9">
        <f t="shared" si="151"/>
        <v>5.1493964723415404</v>
      </c>
      <c r="S62" s="9">
        <f t="shared" si="151"/>
        <v>5.0960708753687678</v>
      </c>
      <c r="T62" s="12">
        <f t="shared" ref="T62" si="152">(T49^2+T36^2)^0.5</f>
        <v>5.0657635481176202</v>
      </c>
    </row>
    <row r="63" spans="4:20" x14ac:dyDescent="0.25">
      <c r="E63" s="24">
        <f t="shared" si="150"/>
        <v>0.8</v>
      </c>
      <c r="F63" s="6"/>
      <c r="G63" s="6"/>
      <c r="H63" s="6"/>
      <c r="I63" s="6"/>
      <c r="J63" s="6"/>
      <c r="K63" s="27">
        <f t="shared" si="151"/>
        <v>8.3148028031745493</v>
      </c>
      <c r="L63" s="9">
        <f t="shared" ref="L63:N63" si="153">(L50^2+L37^2)^0.5</f>
        <v>6.7856705018622874</v>
      </c>
      <c r="M63" s="9">
        <f t="shared" si="153"/>
        <v>6.0810396667328623</v>
      </c>
      <c r="N63" s="9">
        <f t="shared" si="153"/>
        <v>5.5646680266783539</v>
      </c>
      <c r="O63" s="9">
        <f t="shared" ref="O63:T63" si="154">(O50^2+O37^2)^0.5</f>
        <v>5.2291239188292771</v>
      </c>
      <c r="P63" s="9">
        <f t="shared" si="154"/>
        <v>5.0551254152928573</v>
      </c>
      <c r="Q63" s="9">
        <f t="shared" si="154"/>
        <v>4.9898840646405143</v>
      </c>
      <c r="R63" s="9">
        <f t="shared" si="154"/>
        <v>4.9866094618239636</v>
      </c>
      <c r="S63" s="9">
        <f t="shared" si="154"/>
        <v>5.0162732005309341</v>
      </c>
      <c r="T63" s="17">
        <f t="shared" si="154"/>
        <v>5.0646355360674962</v>
      </c>
    </row>
    <row r="64" spans="4:20" x14ac:dyDescent="0.25">
      <c r="E64" s="24">
        <f t="shared" si="150"/>
        <v>0.60000000000000009</v>
      </c>
      <c r="F64" s="6"/>
      <c r="G64" s="6"/>
      <c r="H64" s="6"/>
      <c r="I64" s="6"/>
      <c r="J64" s="6"/>
      <c r="K64" s="6"/>
      <c r="L64" s="27">
        <f t="shared" ref="L64:N66" si="155">(L51^2+L38^2)^0.5</f>
        <v>6.4054624401782867</v>
      </c>
      <c r="M64" s="9">
        <f t="shared" si="155"/>
        <v>5.4183303459339331</v>
      </c>
      <c r="N64" s="9">
        <f t="shared" si="155"/>
        <v>4.9514513259372697</v>
      </c>
      <c r="O64" s="9">
        <f t="shared" ref="O64:T64" si="156">(O51^2+O38^2)^0.5</f>
        <v>4.6768508700371196</v>
      </c>
      <c r="P64" s="9">
        <f t="shared" si="156"/>
        <v>4.6232372547865079</v>
      </c>
      <c r="Q64" s="9">
        <f t="shared" si="156"/>
        <v>4.6864881324427126</v>
      </c>
      <c r="R64" s="9">
        <f t="shared" si="156"/>
        <v>4.7953245510697897</v>
      </c>
      <c r="S64" s="9">
        <f t="shared" si="156"/>
        <v>4.9191883244871164</v>
      </c>
      <c r="T64" s="12">
        <f t="shared" si="156"/>
        <v>5.0509518907385464</v>
      </c>
    </row>
    <row r="65" spans="5:38" x14ac:dyDescent="0.25">
      <c r="E65" s="24">
        <f t="shared" si="150"/>
        <v>0.4</v>
      </c>
      <c r="F65" s="6"/>
      <c r="G65" s="6"/>
      <c r="H65" s="6"/>
      <c r="I65" s="6"/>
      <c r="J65" s="6"/>
      <c r="K65" s="6"/>
      <c r="L65" s="6"/>
      <c r="M65" s="27">
        <f t="shared" si="155"/>
        <v>5.0809043028767338</v>
      </c>
      <c r="N65" s="9">
        <f t="shared" si="155"/>
        <v>4.2418786642559958</v>
      </c>
      <c r="O65" s="9">
        <f t="shared" ref="O65:T65" si="157">(O52^2+O39^2)^0.5</f>
        <v>3.9655107130676233</v>
      </c>
      <c r="P65" s="9">
        <f t="shared" si="157"/>
        <v>4.1103969736369041</v>
      </c>
      <c r="Q65" s="9">
        <f t="shared" si="157"/>
        <v>4.3557282377553488</v>
      </c>
      <c r="R65" s="9">
        <f t="shared" si="157"/>
        <v>4.5975495573554586</v>
      </c>
      <c r="S65" s="9">
        <f t="shared" si="157"/>
        <v>4.8186903456694523</v>
      </c>
      <c r="T65" s="12">
        <f t="shared" si="157"/>
        <v>5.0291045335253592</v>
      </c>
    </row>
    <row r="66" spans="5:38" x14ac:dyDescent="0.25">
      <c r="E66" s="24">
        <f t="shared" si="150"/>
        <v>0.2</v>
      </c>
      <c r="F66" s="6"/>
      <c r="G66" s="6"/>
      <c r="H66" s="6"/>
      <c r="I66" s="6"/>
      <c r="J66" s="6"/>
      <c r="K66" s="6"/>
      <c r="L66" s="6"/>
      <c r="M66" s="6"/>
      <c r="N66" s="27">
        <f t="shared" si="155"/>
        <v>3.8258039558245978</v>
      </c>
      <c r="O66" s="9">
        <f t="shared" ref="O66:T67" si="158">(O53^2+O40^2)^0.5</f>
        <v>2.9387917007226325</v>
      </c>
      <c r="P66" s="9">
        <f t="shared" si="158"/>
        <v>3.5629788094051187</v>
      </c>
      <c r="Q66" s="9">
        <f t="shared" si="158"/>
        <v>4.059829219066958</v>
      </c>
      <c r="R66" s="9">
        <f t="shared" si="158"/>
        <v>4.436163867674459</v>
      </c>
      <c r="S66" s="9">
        <f t="shared" si="158"/>
        <v>4.7388840117580102</v>
      </c>
      <c r="T66" s="12">
        <f t="shared" si="158"/>
        <v>5.0085329170685702</v>
      </c>
    </row>
    <row r="67" spans="5:38" x14ac:dyDescent="0.25">
      <c r="E67" s="24">
        <v>0</v>
      </c>
      <c r="F67" s="5"/>
      <c r="G67" s="5"/>
      <c r="H67" s="5"/>
      <c r="I67" s="5"/>
      <c r="J67" s="5"/>
      <c r="K67" s="5"/>
      <c r="L67" s="5"/>
      <c r="M67" s="5"/>
      <c r="N67" s="5"/>
      <c r="O67" s="27">
        <f t="shared" si="158"/>
        <v>2.1832323911911291</v>
      </c>
      <c r="P67" s="27">
        <f t="shared" si="158"/>
        <v>3.2800239014342378</v>
      </c>
      <c r="Q67" s="27">
        <f t="shared" si="158"/>
        <v>3.9307645589770432</v>
      </c>
      <c r="R67" s="27">
        <f t="shared" si="158"/>
        <v>4.3713259855868589</v>
      </c>
      <c r="S67" s="27">
        <f t="shared" si="158"/>
        <v>4.7077638260594625</v>
      </c>
      <c r="T67" s="27">
        <f t="shared" ref="T67" si="159">(T54^2+T41^2)^0.5</f>
        <v>5</v>
      </c>
    </row>
    <row r="68" spans="5:38" x14ac:dyDescent="0.25">
      <c r="F68" s="24">
        <v>0</v>
      </c>
      <c r="G68" s="24">
        <f>F68+$B$1</f>
        <v>0.2</v>
      </c>
      <c r="H68" s="24">
        <f t="shared" ref="H68" si="160">G68+$B$1</f>
        <v>0.4</v>
      </c>
      <c r="I68" s="24">
        <f t="shared" ref="I68" si="161">H68+$B$1</f>
        <v>0.60000000000000009</v>
      </c>
      <c r="J68" s="24">
        <f t="shared" ref="J68" si="162">I68+$B$1</f>
        <v>0.8</v>
      </c>
      <c r="K68" s="24">
        <f t="shared" ref="K68" si="163">J68+$B$1</f>
        <v>1</v>
      </c>
      <c r="L68" s="24">
        <f t="shared" ref="L68" si="164">K68+$B$1</f>
        <v>1.2</v>
      </c>
      <c r="M68" s="24">
        <f t="shared" ref="M68" si="165">L68+$B$1</f>
        <v>1.4</v>
      </c>
      <c r="N68" s="24">
        <f t="shared" ref="N68" si="166">M68+$B$1</f>
        <v>1.5999999999999999</v>
      </c>
      <c r="O68" s="24">
        <f t="shared" ref="O68" si="167">N68+$B$1</f>
        <v>1.7999999999999998</v>
      </c>
      <c r="P68" s="24">
        <f t="shared" ref="P68" si="168">O68+$B$1</f>
        <v>1.9999999999999998</v>
      </c>
      <c r="Q68" s="24">
        <f t="shared" ref="Q68" si="169">P68+$B$1</f>
        <v>2.1999999999999997</v>
      </c>
      <c r="R68" s="24">
        <f t="shared" ref="R68" si="170">Q68+$B$1</f>
        <v>2.4</v>
      </c>
      <c r="S68" s="24">
        <f t="shared" ref="S68" si="171">R68+$B$1</f>
        <v>2.6</v>
      </c>
      <c r="T68" s="24">
        <f t="shared" ref="T68" si="172">S68+$B$1</f>
        <v>2.8000000000000003</v>
      </c>
    </row>
    <row r="70" spans="5:38" x14ac:dyDescent="0.25">
      <c r="W70" s="32" t="s">
        <v>20</v>
      </c>
      <c r="X70" s="24">
        <v>1</v>
      </c>
      <c r="Y70" s="24">
        <v>2</v>
      </c>
      <c r="Z70" s="24">
        <v>3</v>
      </c>
      <c r="AA70" s="24">
        <v>4</v>
      </c>
      <c r="AB70" s="24">
        <v>5</v>
      </c>
      <c r="AC70" s="24">
        <v>6</v>
      </c>
      <c r="AD70" s="24">
        <v>7</v>
      </c>
      <c r="AE70" s="24">
        <v>8</v>
      </c>
      <c r="AF70" s="24">
        <v>9</v>
      </c>
      <c r="AG70" s="24">
        <v>10</v>
      </c>
      <c r="AH70" s="24">
        <v>11</v>
      </c>
      <c r="AI70" s="24">
        <v>12</v>
      </c>
      <c r="AJ70" s="24">
        <v>13</v>
      </c>
      <c r="AK70" s="24">
        <v>14</v>
      </c>
      <c r="AL70" s="24">
        <v>15</v>
      </c>
    </row>
    <row r="71" spans="5:38" x14ac:dyDescent="0.25">
      <c r="W71" s="11">
        <v>10</v>
      </c>
      <c r="X71" s="16">
        <v>2</v>
      </c>
      <c r="Y71" s="16">
        <v>2</v>
      </c>
      <c r="Z71" s="16">
        <v>2</v>
      </c>
      <c r="AA71" s="16">
        <v>2</v>
      </c>
      <c r="AB71" s="16">
        <v>2</v>
      </c>
      <c r="AC71" s="16">
        <v>2</v>
      </c>
      <c r="AD71" s="16">
        <v>2</v>
      </c>
      <c r="AE71" s="16">
        <v>2</v>
      </c>
      <c r="AF71" s="16">
        <v>2</v>
      </c>
      <c r="AG71" s="16">
        <v>2</v>
      </c>
      <c r="AH71" s="16">
        <v>2</v>
      </c>
      <c r="AI71" s="16">
        <v>2</v>
      </c>
      <c r="AJ71" s="16">
        <v>2</v>
      </c>
      <c r="AK71" s="16">
        <v>2</v>
      </c>
      <c r="AL71" s="16">
        <v>2</v>
      </c>
    </row>
    <row r="72" spans="5:38" x14ac:dyDescent="0.25">
      <c r="W72" s="11">
        <v>9.5</v>
      </c>
      <c r="X72" s="16">
        <f t="shared" ref="X72:AL72" si="173">($E$4-$E$5)*($W$72-F19)/(F18-F19)+$E$5</f>
        <v>1.9499999999999997</v>
      </c>
      <c r="Y72" s="16">
        <f t="shared" si="173"/>
        <v>1.9492811965421892</v>
      </c>
      <c r="Z72" s="16">
        <f t="shared" si="173"/>
        <v>1.9483239340676377</v>
      </c>
      <c r="AA72" s="16">
        <f t="shared" si="173"/>
        <v>1.9468629752842386</v>
      </c>
      <c r="AB72" s="16">
        <f t="shared" si="173"/>
        <v>1.9445916702133432</v>
      </c>
      <c r="AC72" s="16">
        <f t="shared" si="173"/>
        <v>1.9412839901587029</v>
      </c>
      <c r="AD72" s="16">
        <f t="shared" si="173"/>
        <v>1.9370954152423128</v>
      </c>
      <c r="AE72" s="16">
        <f t="shared" si="173"/>
        <v>1.9323341728933043</v>
      </c>
      <c r="AF72" s="16">
        <f t="shared" si="173"/>
        <v>1.9273155342172987</v>
      </c>
      <c r="AG72" s="16">
        <f t="shared" si="173"/>
        <v>1.9222995320911176</v>
      </c>
      <c r="AH72" s="16">
        <f t="shared" si="173"/>
        <v>1.9174625417172841</v>
      </c>
      <c r="AI72" s="16">
        <f t="shared" si="173"/>
        <v>1.9128837481427268</v>
      </c>
      <c r="AJ72" s="16">
        <f t="shared" si="173"/>
        <v>1.9085418421837039</v>
      </c>
      <c r="AK72" s="16">
        <f t="shared" si="173"/>
        <v>1.9043182309340061</v>
      </c>
      <c r="AL72" s="16">
        <f t="shared" si="173"/>
        <v>1.9</v>
      </c>
    </row>
    <row r="73" spans="5:38" x14ac:dyDescent="0.25">
      <c r="W73" s="11">
        <v>7.5</v>
      </c>
      <c r="X73" s="16">
        <f t="shared" ref="X73:AL73" si="174">($E$5-$E$6)*($W$73-F20)/(F19-F20)+$E$6</f>
        <v>1.7499999999999998</v>
      </c>
      <c r="Y73" s="16">
        <f t="shared" si="174"/>
        <v>1.7466273841530693</v>
      </c>
      <c r="Z73" s="16">
        <f t="shared" si="174"/>
        <v>1.7421186228944288</v>
      </c>
      <c r="AA73" s="16">
        <f t="shared" si="174"/>
        <v>1.7351399382151278</v>
      </c>
      <c r="AB73" s="16">
        <f t="shared" si="174"/>
        <v>1.7239912511675726</v>
      </c>
      <c r="AC73" s="16">
        <f t="shared" si="174"/>
        <v>1.7070602796625387</v>
      </c>
      <c r="AD73" s="16">
        <f t="shared" si="174"/>
        <v>1.6853656397256891</v>
      </c>
      <c r="AE73" s="16">
        <f t="shared" si="174"/>
        <v>1.6607458005826536</v>
      </c>
      <c r="AF73" s="16">
        <f t="shared" si="174"/>
        <v>1.6349915486193265</v>
      </c>
      <c r="AG73" s="16">
        <f t="shared" si="174"/>
        <v>1.6095152724480895</v>
      </c>
      <c r="AH73" s="16">
        <f t="shared" si="174"/>
        <v>1.5852311313683405</v>
      </c>
      <c r="AI73" s="16">
        <f t="shared" si="174"/>
        <v>1.5625186269674396</v>
      </c>
      <c r="AJ73" s="16">
        <f t="shared" si="174"/>
        <v>1.5412347434723372</v>
      </c>
      <c r="AK73" s="16">
        <f t="shared" si="174"/>
        <v>1.520753836572603</v>
      </c>
      <c r="AL73" s="16">
        <f t="shared" si="174"/>
        <v>1.5</v>
      </c>
    </row>
    <row r="74" spans="5:38" x14ac:dyDescent="0.25">
      <c r="W74" s="11">
        <v>5</v>
      </c>
      <c r="X74" s="16">
        <f t="shared" ref="X74:AL74" si="175">($E$6-$E$7)*($W$74-F21)/(F20-F21)+$E$7</f>
        <v>1.5</v>
      </c>
      <c r="Y74" s="16">
        <f t="shared" si="175"/>
        <v>1.4949319018966039</v>
      </c>
      <c r="Z74" s="16">
        <f t="shared" si="175"/>
        <v>1.4879335883520706</v>
      </c>
      <c r="AA74" s="16">
        <f t="shared" si="175"/>
        <v>1.4763317243732956</v>
      </c>
      <c r="AB74" s="16">
        <f t="shared" si="175"/>
        <v>1.4555921401565548</v>
      </c>
      <c r="AC74" s="16">
        <f t="shared" si="175"/>
        <v>1.4180311011273543</v>
      </c>
      <c r="AD74" s="16">
        <f t="shared" si="175"/>
        <v>1.3693606346726961</v>
      </c>
      <c r="AE74" s="16">
        <f t="shared" si="175"/>
        <v>1.3154046603021752</v>
      </c>
      <c r="AF74" s="16">
        <f t="shared" si="175"/>
        <v>1.2606481668578995</v>
      </c>
      <c r="AG74" s="16">
        <f t="shared" si="175"/>
        <v>1.2081248868627559</v>
      </c>
      <c r="AH74" s="16">
        <f t="shared" si="175"/>
        <v>1.1595504109982147</v>
      </c>
      <c r="AI74" s="16">
        <f t="shared" si="175"/>
        <v>1.1154391208705172</v>
      </c>
      <c r="AJ74" s="16">
        <f t="shared" si="175"/>
        <v>1.0752401162640728</v>
      </c>
      <c r="AK74" s="16">
        <f t="shared" si="175"/>
        <v>1.03750256023679</v>
      </c>
      <c r="AL74" s="16">
        <f t="shared" si="175"/>
        <v>1</v>
      </c>
    </row>
    <row r="75" spans="5:38" x14ac:dyDescent="0.25">
      <c r="W75" s="11">
        <v>2.5</v>
      </c>
      <c r="X75" s="16">
        <f t="shared" ref="X75:AL75" si="176">($E$7-$E$8)*($W$75-F22)/(F21-F22)+$E$8</f>
        <v>1.25</v>
      </c>
      <c r="Y75" s="16">
        <f t="shared" si="176"/>
        <v>1.246061104555978</v>
      </c>
      <c r="Z75" s="16">
        <f t="shared" si="176"/>
        <v>1.2403368633702156</v>
      </c>
      <c r="AA75" s="16">
        <f t="shared" si="176"/>
        <v>1.2297284275782707</v>
      </c>
      <c r="AB75" s="16">
        <f t="shared" si="176"/>
        <v>1.2063039925172792</v>
      </c>
      <c r="AC75" s="16">
        <f t="shared" si="176"/>
        <v>1.1350118764055963</v>
      </c>
      <c r="AD75" s="16">
        <f t="shared" si="176"/>
        <v>1.0461314248111251</v>
      </c>
      <c r="AE75" s="16">
        <f t="shared" si="176"/>
        <v>0.95344336825120468</v>
      </c>
      <c r="AF75" s="16">
        <f t="shared" si="176"/>
        <v>0.86446382826155621</v>
      </c>
      <c r="AG75" s="16">
        <f t="shared" si="176"/>
        <v>0.7832545014035599</v>
      </c>
      <c r="AH75" s="16">
        <f t="shared" si="176"/>
        <v>0.71165600768384252</v>
      </c>
      <c r="AI75" s="16">
        <f t="shared" si="176"/>
        <v>0.64963919008822413</v>
      </c>
      <c r="AJ75" s="16">
        <f t="shared" si="176"/>
        <v>0.59562862918019466</v>
      </c>
      <c r="AK75" s="16">
        <f t="shared" si="176"/>
        <v>0.54692246098021535</v>
      </c>
      <c r="AL75" s="16">
        <f t="shared" si="176"/>
        <v>0.50000000000000011</v>
      </c>
    </row>
    <row r="76" spans="5:38" x14ac:dyDescent="0.25">
      <c r="W76" s="11">
        <v>0.5</v>
      </c>
      <c r="X76" s="16">
        <f>($E$8-$E$9)*($W$76-F23)/(F22-F23)+$E$9</f>
        <v>1.05</v>
      </c>
      <c r="Y76" s="16">
        <f>($E$8-$E$9)*($W$76-G23)/(G22-G23)+$E$9</f>
        <v>1.0491298276172885</v>
      </c>
      <c r="Z76" s="16">
        <f>($E$8-$E$9)*($W$76-H23)/(H22-H23)+$E$9</f>
        <v>1.0478686159722068</v>
      </c>
      <c r="AA76" s="16">
        <f>($E$8-$E$9)*($W$76-I23)/(I22-I23)+$E$9</f>
        <v>1.0455757847866467</v>
      </c>
      <c r="AB76" s="16">
        <f>($E$8-$E$9)*($W$76-J23)/(J22-J23)+$E$9</f>
        <v>1.0410551332660176</v>
      </c>
      <c r="AC76" s="16">
        <f>($E$9-$E$10)*($W$76-K24)/(K23-K24)+$E$10</f>
        <v>0.87533392166264212</v>
      </c>
      <c r="AD76" s="16">
        <f>($E$10-$E$11)*($W$76-L25)/(L24-L25)+$E$11</f>
        <v>0.69983116300954595</v>
      </c>
      <c r="AE76" s="16">
        <f>($E$11-$E$12)*($W$76-M26)/(M25-M26)+$E$12</f>
        <v>0.52521415730673682</v>
      </c>
      <c r="AF76" s="16">
        <f>($E$12-$E$13)*($W$76-N27)/(N26-N27)+$E$13</f>
        <v>0.35914955870243448</v>
      </c>
      <c r="AG76" s="16">
        <f>($E$12-$E$13)*($W$76-O27)/(O26-O27)+$E$13</f>
        <v>0.21937610167401403</v>
      </c>
      <c r="AH76" s="16">
        <f>($E$13-$E$14)*($W$76-P28)/(P27-P28)+$E$14</f>
        <v>0.15243791357171754</v>
      </c>
      <c r="AI76" s="16">
        <f>($E$13-$E$14)*($W$76-Q28)/(Q27-Q28)+$E$14</f>
        <v>0.12720171673933123</v>
      </c>
      <c r="AJ76" s="16">
        <f>($E$13-$E$14)*($W$76-R28)/(R27-R28)+$E$14</f>
        <v>0.11438176920426447</v>
      </c>
      <c r="AK76" s="16">
        <f>($E$13-$E$14)*($W$76-S28)/(S27-S28)+$E$14</f>
        <v>0.10620753684207536</v>
      </c>
      <c r="AL76" s="16">
        <f>($E$13-$E$14)*($W$76-T28)/(T27-T28)+$E$14</f>
        <v>0.1</v>
      </c>
    </row>
    <row r="77" spans="5:38" x14ac:dyDescent="0.25">
      <c r="W77" s="11">
        <v>0</v>
      </c>
      <c r="X77" s="16">
        <v>1</v>
      </c>
      <c r="Y77" s="16">
        <v>1</v>
      </c>
      <c r="Z77" s="16">
        <v>1</v>
      </c>
      <c r="AA77" s="16">
        <v>1</v>
      </c>
      <c r="AB77" s="16">
        <v>1</v>
      </c>
      <c r="AC77" s="16">
        <v>0.8</v>
      </c>
      <c r="AD77" s="16">
        <v>0.6</v>
      </c>
      <c r="AE77" s="16">
        <v>0.4</v>
      </c>
      <c r="AF77" s="16">
        <v>0.2</v>
      </c>
      <c r="AG77" s="16">
        <v>0</v>
      </c>
      <c r="AH77" s="16">
        <v>0</v>
      </c>
      <c r="AI77" s="16">
        <v>0</v>
      </c>
      <c r="AJ77" s="16">
        <v>0</v>
      </c>
      <c r="AK77" s="16">
        <v>0</v>
      </c>
      <c r="AL77" s="16">
        <v>0</v>
      </c>
    </row>
    <row r="78" spans="5:38" x14ac:dyDescent="0.25">
      <c r="W78" s="24" t="s">
        <v>19</v>
      </c>
      <c r="X78" s="24">
        <v>0</v>
      </c>
      <c r="Y78" s="24">
        <v>0.2</v>
      </c>
      <c r="Z78" s="24">
        <v>0.4</v>
      </c>
      <c r="AA78" s="24">
        <v>0.6</v>
      </c>
      <c r="AB78" s="24">
        <v>0.8</v>
      </c>
      <c r="AC78" s="24">
        <v>1</v>
      </c>
      <c r="AD78" s="24">
        <v>1.2</v>
      </c>
      <c r="AE78" s="24">
        <v>1.4</v>
      </c>
      <c r="AF78" s="24">
        <v>1.6</v>
      </c>
      <c r="AG78" s="24">
        <v>1.8</v>
      </c>
      <c r="AH78" s="24">
        <v>2</v>
      </c>
      <c r="AI78" s="24">
        <v>2.2000000000000002</v>
      </c>
      <c r="AJ78" s="24">
        <v>2.4</v>
      </c>
      <c r="AK78" s="24">
        <v>2.6</v>
      </c>
      <c r="AL78" s="24">
        <v>2.8</v>
      </c>
    </row>
  </sheetData>
  <conditionalFormatting sqref="F18:T28">
    <cfRule type="colorScale" priority="2">
      <colorScale>
        <cfvo type="min"/>
        <cfvo type="max"/>
        <color rgb="FFF5C1EB"/>
        <color rgb="FFFA0E79"/>
      </colorScale>
    </cfRule>
    <cfRule type="colorScale" priority="3">
      <colorScale>
        <cfvo type="min"/>
        <cfvo type="max"/>
        <color rgb="FFF7AFE2"/>
        <color rgb="FFD67CCB"/>
      </colorScale>
    </cfRule>
    <cfRule type="colorScale" priority="4">
      <colorScale>
        <cfvo type="min"/>
        <cfvo type="max"/>
        <color rgb="FFF7AFE2"/>
        <color rgb="FFFF66CC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si">
                <anchor moveWithCells="1" sizeWithCells="1">
                  <from>
                    <xdr:col>0</xdr:col>
                    <xdr:colOff>438150</xdr:colOff>
                    <xdr:row>24</xdr:row>
                    <xdr:rowOff>133350</xdr:rowOff>
                  </from>
                  <to>
                    <xdr:col>2</xdr:col>
                    <xdr:colOff>19050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licki">
                <anchor moveWithCells="1" sizeWithCells="1">
                  <from>
                    <xdr:col>0</xdr:col>
                    <xdr:colOff>285750</xdr:colOff>
                    <xdr:row>18</xdr:row>
                    <xdr:rowOff>123825</xdr:rowOff>
                  </from>
                  <to>
                    <xdr:col>2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Machine</cp:lastModifiedBy>
  <dcterms:created xsi:type="dcterms:W3CDTF">2021-04-20T05:24:58Z</dcterms:created>
  <dcterms:modified xsi:type="dcterms:W3CDTF">2021-05-19T19:32:41Z</dcterms:modified>
</cp:coreProperties>
</file>