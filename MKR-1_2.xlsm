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Администратор\Desktop\"/>
    </mc:Choice>
  </mc:AlternateContent>
  <bookViews>
    <workbookView minimized="1" xWindow="0" yWindow="0" windowWidth="30720" windowHeight="13512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" l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I15" i="1" l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C5" i="1"/>
  <c r="H12" i="1"/>
  <c r="I12" i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  <c r="F13" i="1"/>
  <c r="G15" i="1" s="1"/>
  <c r="G16" i="1" l="1"/>
</calcChain>
</file>

<file path=xl/sharedStrings.xml><?xml version="1.0" encoding="utf-8"?>
<sst xmlns="http://schemas.openxmlformats.org/spreadsheetml/2006/main" count="13" uniqueCount="12">
  <si>
    <t>L</t>
  </si>
  <si>
    <t>dx</t>
  </si>
  <si>
    <t>dt</t>
  </si>
  <si>
    <t>t</t>
  </si>
  <si>
    <t>Cp</t>
  </si>
  <si>
    <t>ro</t>
  </si>
  <si>
    <t>lamda</t>
  </si>
  <si>
    <t>T</t>
  </si>
  <si>
    <t>T_end</t>
  </si>
  <si>
    <t>T_iter</t>
  </si>
  <si>
    <t>q_start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</si>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</sst>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14260717410318E-2"/>
          <c:y val="6.0185185185185182E-2"/>
          <c:w val="0.85541207349081361"/>
          <c:h val="0.8981481481481481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Лист1!$E$13</c:f>
              <c:strCache>
                <c:ptCount val="1"/>
                <c:pt idx="0">
                  <c:v>T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299.99998971811539</c:v>
                </c:pt>
                <c:pt idx="1">
                  <c:v>293.3333230514487</c:v>
                </c:pt>
                <c:pt idx="2">
                  <c:v>286.66665641392717</c:v>
                </c:pt>
                <c:pt idx="3">
                  <c:v>279.99998980546809</c:v>
                </c:pt>
                <c:pt idx="4">
                  <c:v>273.33332322590655</c:v>
                </c:pt>
                <c:pt idx="5">
                  <c:v>266.66665667499564</c:v>
                </c:pt>
                <c:pt idx="6">
                  <c:v>259.99999015240712</c:v>
                </c:pt>
                <c:pt idx="7">
                  <c:v>253.33332365773282</c:v>
                </c:pt>
                <c:pt idx="8">
                  <c:v>246.6666571904849</c:v>
                </c:pt>
                <c:pt idx="9">
                  <c:v>239.99999075009839</c:v>
                </c:pt>
                <c:pt idx="10">
                  <c:v>233.33332433593159</c:v>
                </c:pt>
                <c:pt idx="11">
                  <c:v>226.66665794726902</c:v>
                </c:pt>
                <c:pt idx="12">
                  <c:v>219.99999158332247</c:v>
                </c:pt>
                <c:pt idx="13">
                  <c:v>213.3333252432339</c:v>
                </c:pt>
                <c:pt idx="14">
                  <c:v>206.66665892607764</c:v>
                </c:pt>
                <c:pt idx="15">
                  <c:v>199.99999263086286</c:v>
                </c:pt>
                <c:pt idx="16">
                  <c:v>193.33332635653676</c:v>
                </c:pt>
                <c:pt idx="17">
                  <c:v>186.66666010198713</c:v>
                </c:pt>
                <c:pt idx="18">
                  <c:v>179.99999386604577</c:v>
                </c:pt>
                <c:pt idx="19">
                  <c:v>173.33332764749181</c:v>
                </c:pt>
                <c:pt idx="20">
                  <c:v>166.66666144505496</c:v>
                </c:pt>
                <c:pt idx="21">
                  <c:v>159.99999525741936</c:v>
                </c:pt>
                <c:pt idx="22">
                  <c:v>153.33332908322706</c:v>
                </c:pt>
                <c:pt idx="23">
                  <c:v>146.66666292108226</c:v>
                </c:pt>
                <c:pt idx="24">
                  <c:v>139.9999967695546</c:v>
                </c:pt>
                <c:pt idx="25">
                  <c:v>133.3333306271841</c:v>
                </c:pt>
                <c:pt idx="26">
                  <c:v>126.66666449248437</c:v>
                </c:pt>
                <c:pt idx="27">
                  <c:v>119.9999983639477</c:v>
                </c:pt>
                <c:pt idx="28">
                  <c:v>113.33333224004852</c:v>
                </c:pt>
                <c:pt idx="29">
                  <c:v>106.66666611924842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86-42B8-BA49-E75019B06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149304"/>
        <c:axId val="314151600"/>
      </c:scatterChart>
      <c:valAx>
        <c:axId val="3141493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151600"/>
        <c:crosses val="autoZero"/>
        <c:crossBetween val="midCat"/>
      </c:valAx>
      <c:valAx>
        <c:axId val="3141516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149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114300</xdr:colOff>
      <xdr:row>30</xdr:row>
      <xdr:rowOff>120650</xdr:rowOff>
    </xdr:from>
    <xdr:to>
      <xdr:col>18</xdr:col>
      <xdr:colOff>12700</xdr:colOff>
      <xdr:row>62</xdr:row>
      <xdr:rowOff>63500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6"/>
  <sheetViews>
    <sheetView tabSelected="1" zoomScale="60" zoomScaleNormal="60" workbookViewId="0">
      <selection activeCell="E16" sqref="E16"/>
    </sheetView>
  </sheetViews>
  <sheetFormatPr defaultRowHeight="14.4" x14ac:dyDescent="0.3"/>
  <cols>
    <col min="3" max="3" width="9.88671875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2">
        <f>C3/30</f>
        <v>3.3333333333333335E-3</v>
      </c>
    </row>
    <row r="5" spans="2:36" x14ac:dyDescent="0.3">
      <c r="B5" s="2" t="s">
        <v>2</v>
      </c>
      <c r="C5" s="2">
        <f>(C9*C8*C4^2)/(2*C10)</f>
        <v>0.4333333333333334</v>
      </c>
    </row>
    <row r="6" spans="2:36" x14ac:dyDescent="0.3">
      <c r="B6" s="2" t="s">
        <v>3</v>
      </c>
      <c r="C6" s="2">
        <v>5000</v>
      </c>
      <c r="D6">
        <v>5000.2333333333345</v>
      </c>
    </row>
    <row r="7" spans="2:36" x14ac:dyDescent="0.3">
      <c r="B7" s="1"/>
      <c r="C7" s="1"/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B11" s="1"/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10</v>
      </c>
      <c r="C12" s="2">
        <v>92000</v>
      </c>
      <c r="E12" t="s">
        <v>0</v>
      </c>
      <c r="F12" s="3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3">
      <c r="B13" s="2" t="s">
        <v>8</v>
      </c>
      <c r="C13" s="2">
        <v>100</v>
      </c>
      <c r="E13" t="s">
        <v>7</v>
      </c>
      <c r="F13" s="1">
        <f>(F16/C10)*C4+G13</f>
        <v>299.99998971811539</v>
      </c>
      <c r="G13" s="1">
        <v>293.3333230514487</v>
      </c>
      <c r="H13" s="1">
        <v>286.66665641392717</v>
      </c>
      <c r="I13" s="1">
        <v>279.99998980546809</v>
      </c>
      <c r="J13" s="1">
        <v>273.33332322590655</v>
      </c>
      <c r="K13" s="1">
        <v>266.66665667499564</v>
      </c>
      <c r="L13" s="1">
        <v>259.99999015240712</v>
      </c>
      <c r="M13" s="1">
        <v>253.33332365773282</v>
      </c>
      <c r="N13" s="1">
        <v>246.6666571904849</v>
      </c>
      <c r="O13" s="1">
        <v>239.99999075009839</v>
      </c>
      <c r="P13" s="1">
        <v>233.33332433593159</v>
      </c>
      <c r="Q13" s="1">
        <v>226.66665794726902</v>
      </c>
      <c r="R13" s="1">
        <v>219.99999158332247</v>
      </c>
      <c r="S13" s="1">
        <v>213.3333252432339</v>
      </c>
      <c r="T13" s="1">
        <v>206.66665892607764</v>
      </c>
      <c r="U13" s="1">
        <v>199.99999263086286</v>
      </c>
      <c r="V13" s="1">
        <v>193.33332635653676</v>
      </c>
      <c r="W13" s="1">
        <v>186.66666010198713</v>
      </c>
      <c r="X13" s="1">
        <v>179.99999386604577</v>
      </c>
      <c r="Y13" s="1">
        <v>173.33332764749181</v>
      </c>
      <c r="Z13" s="1">
        <v>166.66666144505496</v>
      </c>
      <c r="AA13" s="1">
        <v>159.99999525741936</v>
      </c>
      <c r="AB13" s="1">
        <v>153.33332908322706</v>
      </c>
      <c r="AC13" s="1">
        <v>146.66666292108226</v>
      </c>
      <c r="AD13" s="1">
        <v>139.9999967695546</v>
      </c>
      <c r="AE13" s="1">
        <v>133.3333306271841</v>
      </c>
      <c r="AF13" s="1">
        <v>126.66666449248437</v>
      </c>
      <c r="AG13" s="1">
        <v>119.9999983639477</v>
      </c>
      <c r="AH13" s="1">
        <v>113.33333224004852</v>
      </c>
      <c r="AI13" s="1">
        <v>106.66666611924842</v>
      </c>
      <c r="AJ13" s="1">
        <v>100</v>
      </c>
    </row>
    <row r="15" spans="2:36" x14ac:dyDescent="0.3">
      <c r="E15" t="s">
        <v>9</v>
      </c>
      <c r="G15">
        <f>G13+(($C$10*$C$5)/($C$9*$C$8))*((H13-2*G13+F13)/($C$4^2))</f>
        <v>293.33332306602131</v>
      </c>
      <c r="H15">
        <f t="shared" ref="H15:AI15" si="1">H13+(($C$10*$C$5)/($C$9*$C$8))*((I13-2*H13+G13)/($C$4^2))</f>
        <v>286.6666564284584</v>
      </c>
      <c r="I15">
        <f t="shared" si="1"/>
        <v>279.99998981991689</v>
      </c>
      <c r="J15">
        <f t="shared" si="1"/>
        <v>273.33332324023183</v>
      </c>
      <c r="K15">
        <f t="shared" si="1"/>
        <v>266.66665668915687</v>
      </c>
      <c r="L15">
        <f t="shared" si="1"/>
        <v>259.99999016636423</v>
      </c>
      <c r="M15">
        <f t="shared" si="1"/>
        <v>253.33332367144601</v>
      </c>
      <c r="N15">
        <f t="shared" si="1"/>
        <v>246.66665720391561</v>
      </c>
      <c r="O15">
        <f t="shared" si="1"/>
        <v>239.99999076320825</v>
      </c>
      <c r="P15">
        <f t="shared" si="1"/>
        <v>233.3333243486837</v>
      </c>
      <c r="Q15">
        <f t="shared" si="1"/>
        <v>226.66665795962703</v>
      </c>
      <c r="R15">
        <f t="shared" si="1"/>
        <v>219.99999159525146</v>
      </c>
      <c r="S15">
        <f t="shared" si="1"/>
        <v>213.33332525470007</v>
      </c>
      <c r="T15">
        <f t="shared" si="1"/>
        <v>206.6666589370484</v>
      </c>
      <c r="U15">
        <f t="shared" si="1"/>
        <v>199.99999264130719</v>
      </c>
      <c r="V15">
        <f t="shared" si="1"/>
        <v>193.33332636642501</v>
      </c>
      <c r="W15">
        <f t="shared" si="1"/>
        <v>186.66666011129126</v>
      </c>
      <c r="X15">
        <f t="shared" si="1"/>
        <v>179.99999387473946</v>
      </c>
      <c r="Y15">
        <f t="shared" si="1"/>
        <v>173.33332765555036</v>
      </c>
      <c r="Z15">
        <f t="shared" si="1"/>
        <v>166.66666145245557</v>
      </c>
      <c r="AA15">
        <f t="shared" si="1"/>
        <v>159.99999526414101</v>
      </c>
      <c r="AB15">
        <f t="shared" si="1"/>
        <v>153.33332908925081</v>
      </c>
      <c r="AC15">
        <f t="shared" si="1"/>
        <v>146.66666292639081</v>
      </c>
      <c r="AD15">
        <f t="shared" si="1"/>
        <v>139.99999677413319</v>
      </c>
      <c r="AE15">
        <f t="shared" si="1"/>
        <v>133.33333063101946</v>
      </c>
      <c r="AF15">
        <f t="shared" si="1"/>
        <v>126.6666644955659</v>
      </c>
      <c r="AG15">
        <f t="shared" si="1"/>
        <v>119.99999836626645</v>
      </c>
      <c r="AH15">
        <f t="shared" si="1"/>
        <v>113.33333224159806</v>
      </c>
      <c r="AI15">
        <f t="shared" si="1"/>
        <v>106.66666612002426</v>
      </c>
    </row>
    <row r="16" spans="2:36" x14ac:dyDescent="0.3">
      <c r="E16" t="s">
        <v>11</v>
      </c>
      <c r="F16">
        <v>92000</v>
      </c>
      <c r="G16">
        <f>-$C$10*((G13-F13)/$C$4)</f>
        <v>92000.000000000247</v>
      </c>
      <c r="H16">
        <f t="shared" ref="H16:AI16" si="2">-$C$10*((H13-G13)/$C$4)</f>
        <v>91999.999597797098</v>
      </c>
      <c r="I16">
        <f t="shared" si="2"/>
        <v>91999.999196735313</v>
      </c>
      <c r="J16">
        <f t="shared" si="2"/>
        <v>91999.998797949185</v>
      </c>
      <c r="K16">
        <f t="shared" si="2"/>
        <v>91999.998402570651</v>
      </c>
      <c r="L16">
        <f t="shared" si="2"/>
        <v>91999.998011721487</v>
      </c>
      <c r="M16">
        <f t="shared" si="2"/>
        <v>91999.99762650537</v>
      </c>
      <c r="N16">
        <f t="shared" si="2"/>
        <v>91999.997248021304</v>
      </c>
      <c r="O16">
        <f t="shared" si="2"/>
        <v>91999.99687733379</v>
      </c>
      <c r="P16">
        <f t="shared" si="2"/>
        <v>91999.9965155018</v>
      </c>
      <c r="Q16">
        <f t="shared" si="2"/>
        <v>91999.996163543547</v>
      </c>
      <c r="R16">
        <f t="shared" si="2"/>
        <v>91999.995822462341</v>
      </c>
      <c r="S16">
        <f t="shared" si="2"/>
        <v>91999.995493222232</v>
      </c>
      <c r="T16">
        <f t="shared" si="2"/>
        <v>91999.995176756333</v>
      </c>
      <c r="U16">
        <f t="shared" si="2"/>
        <v>91999.99487396398</v>
      </c>
      <c r="V16">
        <f t="shared" si="2"/>
        <v>91999.994585700231</v>
      </c>
      <c r="W16">
        <f t="shared" si="2"/>
        <v>91999.994312784809</v>
      </c>
      <c r="X16">
        <f t="shared" si="2"/>
        <v>91999.994055990799</v>
      </c>
      <c r="Y16">
        <f t="shared" si="2"/>
        <v>91999.993816044589</v>
      </c>
      <c r="Z16">
        <f t="shared" si="2"/>
        <v>91999.993593628635</v>
      </c>
      <c r="AA16">
        <f t="shared" si="2"/>
        <v>91999.993389371259</v>
      </c>
      <c r="AB16">
        <f t="shared" si="2"/>
        <v>91999.993203853737</v>
      </c>
      <c r="AC16">
        <f t="shared" si="2"/>
        <v>91999.993037598135</v>
      </c>
      <c r="AD16">
        <f t="shared" si="2"/>
        <v>91999.992891081769</v>
      </c>
      <c r="AE16">
        <f t="shared" si="2"/>
        <v>91999.992764712923</v>
      </c>
      <c r="AF16">
        <f t="shared" si="2"/>
        <v>91999.992658856194</v>
      </c>
      <c r="AG16">
        <f t="shared" si="2"/>
        <v>91999.992573806128</v>
      </c>
      <c r="AH16">
        <f t="shared" si="2"/>
        <v>91999.992509808624</v>
      </c>
      <c r="AI16">
        <f t="shared" si="2"/>
        <v>91999.992467041404</v>
      </c>
      <c r="AJ16">
        <f t="shared" ref="H16:AJ16" si="3">-$C$10*((AJ13-AI13)/$C$4)</f>
        <v>91999.992445628159</v>
      </c>
    </row>
  </sheetData>
  <conditionalFormatting sqref="F13:AJ13"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Machine</cp:lastModifiedBy>
  <dcterms:created xsi:type="dcterms:W3CDTF">2021-02-28T09:47:32Z</dcterms:created>
  <dcterms:modified xsi:type="dcterms:W3CDTF">2021-02-28T17:15:44Z</dcterms:modified>
</cp:coreProperties>
</file>